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nconghuan\Desktop\"/>
    </mc:Choice>
  </mc:AlternateContent>
  <xr:revisionPtr revIDLastSave="0" documentId="13_ncr:1_{E602F9EC-10D5-46AE-98B7-0922AAE20102}" xr6:coauthVersionLast="45" xr6:coauthVersionMax="45" xr10:uidLastSave="{00000000-0000-0000-0000-000000000000}"/>
  <bookViews>
    <workbookView xWindow="-110" yWindow="-110" windowWidth="19420" windowHeight="10420" tabRatio="826" xr2:uid="{00000000-000D-0000-FFFF-FFFF00000000}"/>
  </bookViews>
  <sheets>
    <sheet name="KT_bc" sheetId="42" r:id="rId1"/>
    <sheet name="Gốc" sheetId="48" r:id="rId2"/>
    <sheet name="nguyenduy" sheetId="92" r:id="rId3"/>
    <sheet name="duytruong" sheetId="93" r:id="rId4"/>
    <sheet name="anhminh" sheetId="94"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5" i="48" l="1"/>
  <c r="B15" i="48"/>
  <c r="J15" i="48" s="1"/>
  <c r="B14" i="48"/>
  <c r="K9" i="48"/>
  <c r="B9" i="48"/>
  <c r="J9" i="48" s="1"/>
  <c r="B8" i="48"/>
  <c r="K3" i="48"/>
  <c r="B4" i="48"/>
  <c r="B3" i="48"/>
  <c r="J3" i="48" s="1"/>
  <c r="B2" i="48"/>
  <c r="B3" i="94" l="1"/>
  <c r="B2" i="94"/>
  <c r="B3" i="93"/>
  <c r="B2" i="93"/>
  <c r="K15" i="42"/>
  <c r="C15" i="42"/>
  <c r="C14" i="42"/>
  <c r="B4" i="92"/>
  <c r="B3" i="92"/>
  <c r="B2" i="92"/>
  <c r="K9" i="42"/>
  <c r="C9" i="42"/>
  <c r="C8" i="42"/>
  <c r="K3" i="42"/>
  <c r="C4" i="42"/>
  <c r="C3" i="42"/>
  <c r="C2" i="42"/>
  <c r="D20" i="48" l="1"/>
  <c r="D21" i="48" l="1"/>
</calcChain>
</file>

<file path=xl/sharedStrings.xml><?xml version="1.0" encoding="utf-8"?>
<sst xmlns="http://schemas.openxmlformats.org/spreadsheetml/2006/main" count="362" uniqueCount="96">
  <si>
    <t/>
  </si>
  <si>
    <t>Ngày thực hiện</t>
  </si>
  <si>
    <t>Giờ thực hiện:</t>
  </si>
  <si>
    <t>Tên Khách hàng</t>
  </si>
  <si>
    <t>Yêu cầu công việc</t>
  </si>
  <si>
    <t>Kết Quả</t>
  </si>
  <si>
    <t>08:00</t>
  </si>
  <si>
    <t>CÔNG TY TNHH HT&amp;PT CNTĐ HỢP TRIỂN - VP HCM</t>
  </si>
  <si>
    <t>Hoàn Tất</t>
  </si>
  <si>
    <t>CN5 CTY TNHH MTV CHẾ BIẾN THỰC PHẨM THỌ PHÁT</t>
  </si>
  <si>
    <t>14:00</t>
  </si>
  <si>
    <t>120p</t>
  </si>
  <si>
    <t>13:00</t>
  </si>
  <si>
    <t>09:00</t>
  </si>
  <si>
    <t>CÔNG TY TNHH PERFETTI VAN MELLE (VIỆT NAM)</t>
  </si>
  <si>
    <t>60p</t>
  </si>
  <si>
    <t>08:30</t>
  </si>
  <si>
    <t>180p</t>
  </si>
  <si>
    <t>10:00</t>
  </si>
  <si>
    <t>CÔNG TY TNHH PROCTER &amp; GAMBLE VIETNAM (DONG AN IP)</t>
  </si>
  <si>
    <t>CÔNG TY CP MONDELEZ KINH ĐÔ VIỆT NAM</t>
  </si>
  <si>
    <t>Thời gian (phút)</t>
  </si>
  <si>
    <t>Số tác vụ</t>
  </si>
  <si>
    <t>26/12/2020</t>
  </si>
  <si>
    <t>60-- Hợp Công ty</t>
  </si>
  <si>
    <t>Thời gian thực hiện</t>
  </si>
  <si>
    <t>25/12/2020</t>
  </si>
  <si>
    <t>60--Hỗ trợ sửa máy qua điện thoại</t>
  </si>
  <si>
    <t>CÔNG TY CP BỘT GIẶT NET</t>
  </si>
  <si>
    <t>60--Hỗ trợ sửa máy qua điện thoại.</t>
  </si>
  <si>
    <t>CONG TY TNHH URC VIET NAM (THUẬN AN- BÌNH DƯƠNG)</t>
  </si>
  <si>
    <t>15:00</t>
  </si>
  <si>
    <t>CÔNG TY CP XNK NGUYÊN HẬU</t>
  </si>
  <si>
    <t>120- Họp cty.</t>
  </si>
  <si>
    <t>28/12/2020</t>
  </si>
  <si>
    <t>300- Mua vật tư và đặt gia công cơ khí gá máy in x45i cho cty Cao Su Đồng Nai và gá máy in 8018c demo cho cty Hữu Nghị.</t>
  </si>
  <si>
    <t>300p</t>
  </si>
  <si>
    <t>16:00</t>
  </si>
  <si>
    <t>30-- In mẫu test mực cho cty mỳ Nissin.</t>
  </si>
  <si>
    <t>30p</t>
  </si>
  <si>
    <t>29/12/2020</t>
  </si>
  <si>
    <t>09:30</t>
  </si>
  <si>
    <t>300- Học an toàn nhà máy</t>
  </si>
  <si>
    <t>30/12/2020</t>
  </si>
  <si>
    <t>CÔNG TY CP HÓA - DƯỢC PHẨM MEKOPHAR</t>
  </si>
  <si>
    <t>15-- Giao đầu in 8018</t>
  </si>
  <si>
    <t>60-- In mẫu cty Nissin cho Tú trên máy 8018 và chuẩn bị 1 máy in 8018c.</t>
  </si>
  <si>
    <t>P</t>
  </si>
  <si>
    <t>P--- Nghỉ phép.</t>
  </si>
  <si>
    <t>Nghỉ phép.</t>
  </si>
  <si>
    <t>Phép</t>
  </si>
  <si>
    <t>CÔNG TY TNHH USG BORAL GYPSUM VIỆT NAM</t>
  </si>
  <si>
    <t>180- Giao hàng cho công ty Boral - Hiệp Phước.</t>
  </si>
  <si>
    <t>300- Giao đầu Co2 máy Laser C350 cho công ty P&amp;G - Đồng An.</t>
  </si>
  <si>
    <t>300ph.</t>
  </si>
  <si>
    <t>15:30</t>
  </si>
  <si>
    <t>CÔNG TY TNHH CHENG LOONG BÌNH DƯƠNG PAPER</t>
  </si>
  <si>
    <t>240- Giao đầu in 4020-16dot cho công ty giấy Cheng Loong - Bình Dương.</t>
  </si>
  <si>
    <t>240ph.</t>
  </si>
  <si>
    <t>CÔNG TY TNHH MTV TỔNG CÔNG TY CAO SU ĐỒNG NAI</t>
  </si>
  <si>
    <t>540- Làm case với Tùng, chở máy đã sửa xong trả cho Caosu Đồng Nai, lắp đặt lên dây chuyền.</t>
  </si>
  <si>
    <t>540p.</t>
  </si>
  <si>
    <t>31/12/2020</t>
  </si>
  <si>
    <t>CÔNG TY TNHH BLUESCOPE BUILDINGS VIỆT NAM - ĐỒNG NAI</t>
  </si>
  <si>
    <t>180- Chở máy 9028 cho mượn đem về từ Blue Scope - BIên Hòa</t>
  </si>
  <si>
    <t>CÔNG TY CP BỘT GIẶT LIX - THỦ ĐỨC</t>
  </si>
  <si>
    <t>120-- Ghé công ty Lix Thủ Đức lấy mẫu bao bì về.</t>
  </si>
  <si>
    <t>120p.</t>
  </si>
  <si>
    <t>Máy test mực bị lỗi bơm hút về</t>
  </si>
  <si>
    <t>Kiểm tra bơm hút về máy test mực tại công ty Hợp Triển. Vệ sinh bơm hút về và canon. Khởi động máy in. Kiểm tra tia mực và tách hạt mực. Kết quả: máy in đã hoạt động trở lại bình thường.</t>
  </si>
  <si>
    <t>Máy in báo lỗi 86 khi gắn cảm biến vào máy</t>
  </si>
  <si>
    <t>Kiểm tra máy in. Thay cảm biến máy in. Khởi động máy in. Kiểm tra máy. Máy in hoạt động bình thường và đưa vào sản xuất.</t>
  </si>
  <si>
    <t>Máy in 9410 báo tham chiếu phát hiện hợp mực sai - Bảo trì máy in nhà máy</t>
  </si>
  <si>
    <t>Kiểm tra bình mực. Chip mực nhận sai bình mực. Thay chip bình mực khác. Kiểm tra thông số các máy in còn lại. Tất cả máy in đều hoạt động bình thường.</t>
  </si>
  <si>
    <t>CÔNG TY TNHH I.B.O INTERNATIONAL (VIỆT NAM)</t>
  </si>
  <si>
    <t>Máy in 9028 chết đèn màn hình</t>
  </si>
  <si>
    <t>Bật nguồn máy in. Kiểm tra đèn màn hình máy in. Đèn màn hình chết. Cho nhà máy mượn màn hình để chạy sản xuất. Mang màn hình nhà máy về cty Hợp Triển sửa và gắn lại sau. Sau khi thay đèn màn hình. Màn hình sáng máy in hoạt động bình thường.</t>
  </si>
  <si>
    <t>CÔNG TY CP BẢO VỆ THỰC VẬT SÀI GÒN</t>
  </si>
  <si>
    <t>máy 9020 bị nghẹt mực, không khởi động được.</t>
  </si>
  <si>
    <t>Thông van U5, thông đường hút về, chỉnh lại tia mực, chỉnh lại tách hạt, xả bỏ mực loãng. Máy chạy lại OK.</t>
  </si>
  <si>
    <t>CÔNG TY TNHH THỰC PHẨM ORION VINA , NM BÌNH DƯƠNG</t>
  </si>
  <si>
    <t>01 máy 8018c không in, không báo lỗi. Và 01 in 8018c sàng mực in vào trong.</t>
  </si>
  <si>
    <t>Sửa chữa. Chỉnh lại đầu in ngang đỉnh rulo cao su và gắn lại relay báo lỗi.</t>
  </si>
  <si>
    <t>Case</t>
  </si>
  <si>
    <t>x</t>
  </si>
  <si>
    <t>TG thực hiện/ tuần (Giờ)</t>
  </si>
  <si>
    <t>2 ngày</t>
  </si>
  <si>
    <t>Cty abc</t>
  </si>
  <si>
    <t>Nguyễn Anh Minh</t>
  </si>
  <si>
    <t>Đỗ Duy Trường</t>
  </si>
  <si>
    <t>Phạm Nguyên Duy</t>
  </si>
  <si>
    <t>anhminh</t>
  </si>
  <si>
    <t>Không tạo việc trên hệ thống</t>
  </si>
  <si>
    <t>Sales_HCM</t>
  </si>
  <si>
    <t>Phep</t>
  </si>
  <si>
    <t>Ngoaigio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</si>
</sst>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8" x14ac:knownFonts="1">
    <font>
      <sz val="10"/>
      <color rgb="FF000000"/>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8"/>
      <color theme="3"/>
      <name val="Calibri Light"/>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57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sz val="10"/>
      <name val="Arial"/>
      <family val="2"/>
    </font>
    <font>
      <sz val="10"/>
      <color rgb="FF000000"/>
      <name val="Arial"/>
      <family val="2"/>
    </font>
    <font>
      <b/>
      <sz val="11"/>
      <name val="Arial"/>
      <family val="2"/>
    </font>
    <font>
      <b/>
      <sz val="10"/>
      <color rgb="FF000000"/>
      <name val="Arial"/>
      <family val="2"/>
    </font>
    <font>
      <sz val="11"/>
      <color theme="1"/>
      <name val="Arial"/>
      <family val="2"/>
      <charset val="163"/>
    </font>
    <font>
      <sz val="11"/>
      <name val="Arial"/>
      <family val="2"/>
    </font>
    <font>
      <sz val="9"/>
      <name val="Arial"/>
      <family val="2"/>
    </font>
    <font>
      <b/>
      <sz val="9"/>
      <name val="Arial"/>
      <family val="2"/>
    </font>
    <font>
      <sz val="11"/>
      <color rgb="FF0070C0"/>
      <name val="Arial"/>
      <family val="2"/>
    </font>
    <font>
      <b/>
      <sz val="11"/>
      <color rgb="FFFF0000"/>
      <name val="Arial"/>
      <family val="2"/>
    </font>
    <font>
      <sz val="9"/>
      <color theme="0"/>
      <name val="Arial"/>
      <family val="2"/>
    </font>
    <font>
      <sz val="9"/>
      <color rgb="FF00B050"/>
      <name val="Arial"/>
      <family val="2"/>
    </font>
    <font>
      <b/>
      <sz val="9"/>
      <color rgb="FF0070C0"/>
      <name val="Arial"/>
      <family val="2"/>
    </font>
    <font>
      <sz val="10"/>
      <color rgb="FF00B050"/>
      <name val="Arial"/>
      <family val="2"/>
    </font>
    <font>
      <b/>
      <sz val="12"/>
      <name val="Arial"/>
      <family val="2"/>
    </font>
    <font>
      <b/>
      <sz val="11"/>
      <color rgb="FF00B050"/>
      <name val="Arial"/>
      <family val="2"/>
    </font>
    <font>
      <sz val="11"/>
      <color rgb="FFFF0000"/>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0070C0"/>
        <bgColor indexed="64"/>
      </patternFill>
    </fill>
    <fill>
      <patternFill patternType="solid">
        <fgColor theme="9" tint="0.79998168889431442"/>
        <bgColor indexed="64"/>
      </patternFill>
    </fill>
    <fill>
      <patternFill patternType="solid">
        <fgColor rgb="FFFFCC00"/>
        <bgColor indexed="64"/>
      </patternFill>
    </fill>
    <fill>
      <patternFill patternType="solid">
        <fgColor theme="7" tint="0.39997558519241921"/>
        <bgColor indexed="64"/>
      </patternFill>
    </fill>
    <fill>
      <patternFill patternType="solid">
        <fgColor theme="7"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style="thin">
        <color rgb="FFCCCCCC"/>
      </top>
      <bottom/>
      <diagonal/>
    </border>
    <border>
      <left style="thin">
        <color rgb="FFCCCCCC"/>
      </left>
      <right style="thin">
        <color rgb="FFCCCCCC"/>
      </right>
      <top/>
      <bottom/>
      <diagonal/>
    </border>
    <border>
      <left style="thin">
        <color rgb="FFCCCCCC"/>
      </left>
      <right style="thin">
        <color rgb="FFCCCCCC"/>
      </right>
      <top/>
      <bottom style="thin">
        <color rgb="FFCCCCCC"/>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medium">
        <color theme="4"/>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s>
  <cellStyleXfs count="150">
    <xf numFmtId="0" fontId="0" fillId="0" borderId="0"/>
    <xf numFmtId="0" fontId="45" fillId="0" borderId="0" applyNumberFormat="0" applyFill="0" applyBorder="0" applyAlignment="0" applyProtection="0"/>
    <xf numFmtId="0" fontId="46" fillId="0" borderId="1" applyNumberFormat="0" applyFill="0" applyAlignment="0" applyProtection="0"/>
    <xf numFmtId="0" fontId="47" fillId="0" borderId="2" applyNumberFormat="0" applyFill="0" applyAlignment="0" applyProtection="0"/>
    <xf numFmtId="0" fontId="48" fillId="0" borderId="3" applyNumberFormat="0" applyFill="0" applyAlignment="0" applyProtection="0"/>
    <xf numFmtId="0" fontId="48" fillId="0" borderId="0" applyNumberFormat="0" applyFill="0" applyBorder="0" applyAlignment="0" applyProtection="0"/>
    <xf numFmtId="0" fontId="49" fillId="2" borderId="0" applyNumberFormat="0" applyBorder="0" applyAlignment="0" applyProtection="0"/>
    <xf numFmtId="0" fontId="50" fillId="3" borderId="0" applyNumberFormat="0" applyBorder="0" applyAlignment="0" applyProtection="0"/>
    <xf numFmtId="0" fontId="51" fillId="4" borderId="0" applyNumberFormat="0" applyBorder="0" applyAlignment="0" applyProtection="0"/>
    <xf numFmtId="0" fontId="52" fillId="5" borderId="4" applyNumberFormat="0" applyAlignment="0" applyProtection="0"/>
    <xf numFmtId="0" fontId="53" fillId="6" borderId="5" applyNumberFormat="0" applyAlignment="0" applyProtection="0"/>
    <xf numFmtId="0" fontId="54" fillId="6" borderId="4" applyNumberFormat="0" applyAlignment="0" applyProtection="0"/>
    <xf numFmtId="0" fontId="55" fillId="0" borderId="6" applyNumberFormat="0" applyFill="0" applyAlignment="0" applyProtection="0"/>
    <xf numFmtId="0" fontId="56" fillId="7" borderId="7" applyNumberFormat="0" applyAlignment="0" applyProtection="0"/>
    <xf numFmtId="0" fontId="57" fillId="0" borderId="0" applyNumberFormat="0" applyFill="0" applyBorder="0" applyAlignment="0" applyProtection="0"/>
    <xf numFmtId="0" fontId="44" fillId="8" borderId="8" applyNumberFormat="0" applyFont="0" applyAlignment="0" applyProtection="0"/>
    <xf numFmtId="0" fontId="58" fillId="0" borderId="0" applyNumberFormat="0" applyFill="0" applyBorder="0" applyAlignment="0" applyProtection="0"/>
    <xf numFmtId="0" fontId="59" fillId="0" borderId="9" applyNumberFormat="0" applyFill="0" applyAlignment="0" applyProtection="0"/>
    <xf numFmtId="0" fontId="60" fillId="9" borderId="0" applyNumberFormat="0" applyBorder="0" applyAlignment="0" applyProtection="0"/>
    <xf numFmtId="0" fontId="44" fillId="10" borderId="0" applyNumberFormat="0" applyBorder="0" applyAlignment="0" applyProtection="0"/>
    <xf numFmtId="0" fontId="44" fillId="11" borderId="0" applyNumberFormat="0" applyBorder="0" applyAlignment="0" applyProtection="0"/>
    <xf numFmtId="0" fontId="44" fillId="12" borderId="0" applyNumberFormat="0" applyBorder="0" applyAlignment="0" applyProtection="0"/>
    <xf numFmtId="0" fontId="60"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60" fillId="17" borderId="0" applyNumberFormat="0" applyBorder="0" applyAlignment="0" applyProtection="0"/>
    <xf numFmtId="0" fontId="44"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60" fillId="21" borderId="0" applyNumberFormat="0" applyBorder="0" applyAlignment="0" applyProtection="0"/>
    <xf numFmtId="0" fontId="44"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60" fillId="25" borderId="0" applyNumberFormat="0" applyBorder="0" applyAlignment="0" applyProtection="0"/>
    <xf numFmtId="0" fontId="44"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60"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65" fillId="0" borderId="0"/>
    <xf numFmtId="0" fontId="62" fillId="0" borderId="0"/>
    <xf numFmtId="0" fontId="43" fillId="0" borderId="0"/>
    <xf numFmtId="0" fontId="42" fillId="0" borderId="0"/>
    <xf numFmtId="0" fontId="41" fillId="0" borderId="0"/>
    <xf numFmtId="0" fontId="40" fillId="0" borderId="0"/>
    <xf numFmtId="0" fontId="39" fillId="0" borderId="0"/>
    <xf numFmtId="0" fontId="38" fillId="0" borderId="0"/>
    <xf numFmtId="0" fontId="37" fillId="0" borderId="0"/>
    <xf numFmtId="0" fontId="36" fillId="0" borderId="0"/>
    <xf numFmtId="0" fontId="36"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2" fillId="0" borderId="0"/>
    <xf numFmtId="0" fontId="31" fillId="0" borderId="0"/>
    <xf numFmtId="0" fontId="31" fillId="0" borderId="0"/>
    <xf numFmtId="0" fontId="31" fillId="0" borderId="0"/>
    <xf numFmtId="0" fontId="30" fillId="0" borderId="0"/>
    <xf numFmtId="0" fontId="30" fillId="0" borderId="0"/>
    <xf numFmtId="0" fontId="30" fillId="0" borderId="0"/>
    <xf numFmtId="0" fontId="29"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7" fillId="0" borderId="0"/>
    <xf numFmtId="0" fontId="26" fillId="0" borderId="0"/>
    <xf numFmtId="0" fontId="26" fillId="0" borderId="0"/>
    <xf numFmtId="0" fontId="26" fillId="0" borderId="0"/>
    <xf numFmtId="0" fontId="25" fillId="0" borderId="0"/>
    <xf numFmtId="0" fontId="25" fillId="0" borderId="0"/>
    <xf numFmtId="0" fontId="25" fillId="0" borderId="0"/>
    <xf numFmtId="0" fontId="24" fillId="0" borderId="0"/>
    <xf numFmtId="0" fontId="24" fillId="0" borderId="0"/>
    <xf numFmtId="0" fontId="24" fillId="0" borderId="0"/>
    <xf numFmtId="0" fontId="23" fillId="0" borderId="0"/>
    <xf numFmtId="0" fontId="23" fillId="0" borderId="0"/>
    <xf numFmtId="0" fontId="22" fillId="0" borderId="0"/>
    <xf numFmtId="0" fontId="22" fillId="0" borderId="0"/>
    <xf numFmtId="0" fontId="22" fillId="0" borderId="0"/>
    <xf numFmtId="0" fontId="21" fillId="0" borderId="0"/>
    <xf numFmtId="0" fontId="21" fillId="0" borderId="0"/>
    <xf numFmtId="0" fontId="21" fillId="0" borderId="0"/>
    <xf numFmtId="0" fontId="20" fillId="0" borderId="0"/>
    <xf numFmtId="0" fontId="20" fillId="0" borderId="0"/>
    <xf numFmtId="0" fontId="19" fillId="0" borderId="0"/>
    <xf numFmtId="0" fontId="19" fillId="0" borderId="0"/>
    <xf numFmtId="0" fontId="19" fillId="0" borderId="0"/>
    <xf numFmtId="0" fontId="18" fillId="0" borderId="0"/>
    <xf numFmtId="0" fontId="18" fillId="0" borderId="0"/>
    <xf numFmtId="0" fontId="18" fillId="0" borderId="0"/>
    <xf numFmtId="0" fontId="17" fillId="0" borderId="0"/>
    <xf numFmtId="0" fontId="17" fillId="0" borderId="0"/>
    <xf numFmtId="0" fontId="17" fillId="0" borderId="0"/>
    <xf numFmtId="0" fontId="16" fillId="0" borderId="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5"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cellStyleXfs>
  <cellXfs count="44">
    <xf numFmtId="0" fontId="61" fillId="0" borderId="0" xfId="0" applyFont="1"/>
    <xf numFmtId="0" fontId="66" fillId="33" borderId="10" xfId="0" applyFont="1" applyFill="1" applyBorder="1" applyAlignment="1">
      <alignment horizontal="center" vertical="center" wrapText="1"/>
    </xf>
    <xf numFmtId="0" fontId="68" fillId="0" borderId="11" xfId="0" applyFont="1" applyBorder="1" applyAlignment="1">
      <alignment horizontal="center" vertical="center" wrapText="1"/>
    </xf>
    <xf numFmtId="0" fontId="68" fillId="0" borderId="11" xfId="0" applyFont="1" applyBorder="1" applyAlignment="1">
      <alignment vertical="center" wrapText="1"/>
    </xf>
    <xf numFmtId="0" fontId="67" fillId="33" borderId="12" xfId="0" applyFont="1" applyFill="1" applyBorder="1" applyAlignment="1">
      <alignment horizontal="center" vertical="center" wrapText="1"/>
    </xf>
    <xf numFmtId="0" fontId="69" fillId="33" borderId="12" xfId="0" applyFont="1" applyFill="1" applyBorder="1" applyAlignment="1">
      <alignment horizontal="center" vertical="center" wrapText="1"/>
    </xf>
    <xf numFmtId="0" fontId="70" fillId="33" borderId="12" xfId="0" applyFont="1" applyFill="1" applyBorder="1" applyAlignment="1">
      <alignment horizontal="center" vertical="center" wrapText="1"/>
    </xf>
    <xf numFmtId="0" fontId="63" fillId="33" borderId="12" xfId="0" applyFont="1" applyFill="1" applyBorder="1" applyAlignment="1">
      <alignment horizontal="left" vertical="center" wrapText="1"/>
    </xf>
    <xf numFmtId="0" fontId="68" fillId="33" borderId="11" xfId="0" applyFont="1" applyFill="1" applyBorder="1" applyAlignment="1">
      <alignment horizontal="center" vertical="center" wrapText="1"/>
    </xf>
    <xf numFmtId="0" fontId="67" fillId="35" borderId="12" xfId="0" applyFont="1" applyFill="1" applyBorder="1" applyAlignment="1">
      <alignment horizontal="center" vertical="center" wrapText="1"/>
    </xf>
    <xf numFmtId="0" fontId="71" fillId="34" borderId="12" xfId="0" applyFont="1" applyFill="1" applyBorder="1" applyAlignment="1">
      <alignment horizontal="center" vertical="center" wrapText="1"/>
    </xf>
    <xf numFmtId="0" fontId="63" fillId="0" borderId="12" xfId="0" applyFont="1" applyBorder="1" applyAlignment="1">
      <alignment horizontal="left" vertical="center" wrapText="1"/>
    </xf>
    <xf numFmtId="0" fontId="64" fillId="36" borderId="12" xfId="0" applyFont="1" applyFill="1" applyBorder="1" applyAlignment="1">
      <alignment horizontal="center" vertical="center" wrapText="1"/>
    </xf>
    <xf numFmtId="0" fontId="61" fillId="0" borderId="12" xfId="0" applyFont="1" applyBorder="1" applyAlignment="1">
      <alignment horizontal="center" vertical="center" wrapText="1"/>
    </xf>
    <xf numFmtId="0" fontId="61" fillId="0" borderId="12" xfId="0" applyFont="1" applyBorder="1" applyAlignment="1">
      <alignment vertical="center" wrapText="1"/>
    </xf>
    <xf numFmtId="0" fontId="63" fillId="37" borderId="12" xfId="0" applyFont="1" applyFill="1" applyBorder="1" applyAlignment="1">
      <alignment horizontal="left" vertical="center" wrapText="1"/>
    </xf>
    <xf numFmtId="0" fontId="70" fillId="37" borderId="12" xfId="0" applyFont="1" applyFill="1" applyBorder="1" applyAlignment="1">
      <alignment horizontal="center" vertical="center" wrapText="1"/>
    </xf>
    <xf numFmtId="0" fontId="73" fillId="37" borderId="12" xfId="0" applyFont="1" applyFill="1" applyBorder="1" applyAlignment="1">
      <alignment horizontal="center" vertical="center" wrapText="1"/>
    </xf>
    <xf numFmtId="0" fontId="61" fillId="33" borderId="12" xfId="0" applyFont="1" applyFill="1" applyBorder="1" applyAlignment="1">
      <alignment horizontal="right" vertical="center" wrapText="1"/>
    </xf>
    <xf numFmtId="0" fontId="73" fillId="33" borderId="12" xfId="0" applyFont="1" applyFill="1" applyBorder="1" applyAlignment="1">
      <alignment horizontal="center" vertical="center" wrapText="1"/>
    </xf>
    <xf numFmtId="3" fontId="74" fillId="33" borderId="12" xfId="147" applyNumberFormat="1" applyFont="1" applyFill="1" applyBorder="1" applyAlignment="1">
      <alignment horizontal="center" vertical="center" wrapText="1"/>
    </xf>
    <xf numFmtId="0" fontId="2" fillId="0" borderId="12" xfId="148" applyBorder="1" applyAlignment="1">
      <alignment vertical="center" wrapText="1"/>
    </xf>
    <xf numFmtId="22" fontId="2" fillId="0" borderId="12" xfId="148" applyNumberFormat="1" applyBorder="1" applyAlignment="1">
      <alignment vertical="center" wrapText="1"/>
    </xf>
    <xf numFmtId="0" fontId="67" fillId="33" borderId="12" xfId="0" applyFont="1" applyFill="1" applyBorder="1" applyAlignment="1">
      <alignment horizontal="right" vertical="center" wrapText="1"/>
    </xf>
    <xf numFmtId="0" fontId="2" fillId="33" borderId="12" xfId="149" applyFill="1" applyBorder="1" applyAlignment="1">
      <alignment horizontal="center" vertical="center" wrapText="1"/>
    </xf>
    <xf numFmtId="0" fontId="72" fillId="38" borderId="12" xfId="0" applyFont="1" applyFill="1" applyBorder="1" applyAlignment="1">
      <alignment horizontal="center" vertical="center" wrapText="1"/>
    </xf>
    <xf numFmtId="0" fontId="68" fillId="37" borderId="11" xfId="0" applyFont="1" applyFill="1" applyBorder="1" applyAlignment="1">
      <alignment horizontal="center" vertical="center" wrapText="1"/>
    </xf>
    <xf numFmtId="0" fontId="67" fillId="0" borderId="11" xfId="0" applyFont="1" applyBorder="1" applyAlignment="1">
      <alignment vertical="center" wrapText="1"/>
    </xf>
    <xf numFmtId="0" fontId="75" fillId="0" borderId="11" xfId="0" applyFont="1" applyBorder="1" applyAlignment="1">
      <alignment horizontal="center" vertical="center" wrapText="1"/>
    </xf>
    <xf numFmtId="0" fontId="76" fillId="33" borderId="12" xfId="0" applyFont="1" applyFill="1" applyBorder="1" applyAlignment="1">
      <alignment horizontal="center" vertical="center" wrapText="1"/>
    </xf>
    <xf numFmtId="0" fontId="1" fillId="0" borderId="12" xfId="148" applyFont="1" applyBorder="1" applyAlignment="1">
      <alignment vertical="center" wrapText="1"/>
    </xf>
    <xf numFmtId="0" fontId="77" fillId="0" borderId="12" xfId="0" applyFont="1" applyBorder="1" applyAlignment="1">
      <alignment horizontal="left" vertical="center" wrapText="1"/>
    </xf>
    <xf numFmtId="0" fontId="66" fillId="0" borderId="12" xfId="0" applyFont="1" applyBorder="1" applyAlignment="1">
      <alignment horizontal="left" vertical="center" wrapText="1"/>
    </xf>
    <xf numFmtId="0" fontId="66" fillId="0" borderId="13" xfId="0" applyFont="1" applyBorder="1" applyAlignment="1">
      <alignment horizontal="left" vertical="center" wrapText="1"/>
    </xf>
    <xf numFmtId="0" fontId="66" fillId="0" borderId="14" xfId="0" applyFont="1" applyBorder="1" applyAlignment="1">
      <alignment horizontal="left" vertical="center" wrapText="1"/>
    </xf>
    <xf numFmtId="0" fontId="66" fillId="0" borderId="15" xfId="0" applyFont="1" applyBorder="1" applyAlignment="1">
      <alignment horizontal="left" vertical="center" wrapText="1"/>
    </xf>
    <xf numFmtId="0" fontId="1" fillId="33" borderId="12" xfId="149" applyFont="1" applyFill="1" applyBorder="1" applyAlignment="1">
      <alignment horizontal="center" vertical="center" wrapText="1"/>
    </xf>
    <xf numFmtId="0" fontId="68" fillId="0" borderId="16" xfId="0" applyFont="1" applyBorder="1" applyAlignment="1">
      <alignment horizontal="center" vertical="center" wrapText="1"/>
    </xf>
    <xf numFmtId="0" fontId="68" fillId="0" borderId="17" xfId="0" applyFont="1" applyBorder="1" applyAlignment="1">
      <alignment horizontal="center" vertical="center" wrapText="1"/>
    </xf>
    <xf numFmtId="0" fontId="66" fillId="33" borderId="0" xfId="0" applyFont="1" applyFill="1" applyAlignment="1">
      <alignment horizontal="center" vertical="center" wrapText="1"/>
    </xf>
    <xf numFmtId="0" fontId="68" fillId="0" borderId="18" xfId="0" applyFont="1" applyBorder="1" applyAlignment="1">
      <alignment horizontal="center" vertical="center" wrapText="1"/>
    </xf>
    <xf numFmtId="0" fontId="68" fillId="0" borderId="19" xfId="0" applyFont="1" applyBorder="1" applyAlignment="1">
      <alignment horizontal="center" vertical="center" wrapText="1"/>
    </xf>
    <xf numFmtId="0" fontId="68" fillId="0" borderId="20" xfId="0" applyFont="1" applyBorder="1" applyAlignment="1">
      <alignment horizontal="center" vertical="center" wrapText="1"/>
    </xf>
    <xf numFmtId="0" fontId="68" fillId="0" borderId="21" xfId="0" applyFont="1" applyBorder="1" applyAlignment="1">
      <alignment horizontal="center" vertical="center" wrapText="1"/>
    </xf>
  </cellXfs>
  <cellStyles count="15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ình thường 10" xfId="53" xr:uid="{5DF4678C-B952-436D-9532-71CD41C24AE1}"/>
    <cellStyle name="Bình thường 10 2" xfId="54" xr:uid="{022F1BB7-D0BE-4356-A7C5-3A1AAA8541B8}"/>
    <cellStyle name="Bình thường 11" xfId="55" xr:uid="{017A89F0-44E5-4DEB-BB1F-2E7EFFF14CCD}"/>
    <cellStyle name="Bình thường 12" xfId="57" xr:uid="{A1C98F62-0DE9-4055-98D7-7280CBDEF071}"/>
    <cellStyle name="Bình thường 12 2" xfId="59" xr:uid="{E90718ED-C53F-4AC7-B1C8-9E535C8AEEAA}"/>
    <cellStyle name="Bình thường 12 2 10" xfId="91" xr:uid="{B94B68FF-0342-4B45-8EE1-818FDB25F22C}"/>
    <cellStyle name="Bình thường 12 2 11" xfId="97" xr:uid="{6761AB70-B31B-4BA1-A9F2-78463F5292D4}"/>
    <cellStyle name="Bình thường 12 2 12" xfId="99" xr:uid="{8F61F09A-6F17-482A-B446-3FFEE21BB34A}"/>
    <cellStyle name="Bình thường 12 2 13" xfId="103" xr:uid="{FDD82135-2BE5-4FF5-9EA1-180F992EA3F5}"/>
    <cellStyle name="Bình thường 12 2 14" xfId="105" xr:uid="{A3B4299A-9F56-4D16-9360-189C214D8143}"/>
    <cellStyle name="Bình thường 12 2 15" xfId="109" xr:uid="{B5E4E923-6BE7-43EE-951B-ABCD1D02B9A8}"/>
    <cellStyle name="Bình thường 12 2 16" xfId="112" xr:uid="{0428CCAF-03ED-48E7-96BB-DBF26FFCEEF4}"/>
    <cellStyle name="Bình thường 12 2 17" xfId="114" xr:uid="{C6886EAF-40EE-48AB-AA64-22732B7E88B6}"/>
    <cellStyle name="Bình thường 12 2 18" xfId="118" xr:uid="{083A11F8-31D8-491A-9445-AD5334BC3F00}"/>
    <cellStyle name="Bình thường 12 2 19" xfId="120" xr:uid="{481C783A-C86F-4E2A-894E-FDAE2BCDAFAA}"/>
    <cellStyle name="Bình thường 12 2 2" xfId="62" xr:uid="{0C295AE6-FFE2-44A7-B15F-990161443687}"/>
    <cellStyle name="Bình thường 12 2 20" xfId="125" xr:uid="{5DEBEC8A-9035-445E-B326-B73C4A06BEB5}"/>
    <cellStyle name="Bình thường 12 2 21" xfId="128" xr:uid="{DDA44CA3-06DD-4B8A-A86A-8493ABF932BA}"/>
    <cellStyle name="Bình thường 12 2 22" xfId="131" xr:uid="{1B451F27-DE63-495D-BD87-13100827A5AC}"/>
    <cellStyle name="Bình thường 12 2 23" xfId="134" xr:uid="{197B7BFA-9914-45EC-8BAA-A54E78CE2772}"/>
    <cellStyle name="Bình thường 12 2 24" xfId="138" xr:uid="{ADE0BE7D-79BF-4DDC-809D-FE93526BDD63}"/>
    <cellStyle name="Bình thường 12 2 25" xfId="140" xr:uid="{044C8638-984F-403E-928C-840FEA1B093E}"/>
    <cellStyle name="Bình thường 12 2 26" xfId="145" xr:uid="{A9A5A3CB-96B1-4AED-95A2-74F5D0FC9904}"/>
    <cellStyle name="Bình thường 12 2 27" xfId="149" xr:uid="{92A4F452-6F14-4714-9EDF-6627373B2929}"/>
    <cellStyle name="Bình thường 12 2 3" xfId="65" xr:uid="{2A12DE8D-B9FC-490E-AB8A-2F356AB195A1}"/>
    <cellStyle name="Bình thường 12 2 4" xfId="68" xr:uid="{F49D8154-7882-4827-90C4-120EBC610E90}"/>
    <cellStyle name="Bình thường 12 2 4 2" xfId="72" xr:uid="{FC499FFF-F848-44D0-90AC-CF605361D1ED}"/>
    <cellStyle name="Bình thường 12 2 5" xfId="75" xr:uid="{AA4AF6F7-3144-4624-9516-0521A16CDB9D}"/>
    <cellStyle name="Bình thường 12 2 5 2" xfId="76" xr:uid="{947EEEBF-FC35-4838-A1DF-1EDC0CD8E752}"/>
    <cellStyle name="Bình thường 12 2 6" xfId="80" xr:uid="{E56014AB-2C13-4397-A717-2EEBBA0807B7}"/>
    <cellStyle name="Bình thường 12 2 7" xfId="83" xr:uid="{20EBA022-BF6A-4692-9DB7-D7D7155DF694}"/>
    <cellStyle name="Bình thường 12 2 8" xfId="85" xr:uid="{9157E51A-81DC-406D-AC07-5109EE25A297}"/>
    <cellStyle name="Bình thường 12 2 9" xfId="88" xr:uid="{1F2C555D-6520-41F4-B3DD-66F67849E497}"/>
    <cellStyle name="Bình thường 12 3" xfId="143" xr:uid="{8DBE65F5-E72B-43BD-B2E8-14F6A2F4D719}"/>
    <cellStyle name="Bình thường 12 4" xfId="147" xr:uid="{21169168-60B8-4E40-87E8-AB75E5E6F83D}"/>
    <cellStyle name="Bình thường 13" xfId="60" xr:uid="{FFF3AA57-3890-40F9-A799-2528DCC40262}"/>
    <cellStyle name="Bình thường 14" xfId="63" xr:uid="{0D58456B-EC60-46CE-B024-6E61A57E181C}"/>
    <cellStyle name="Bình thường 15" xfId="56" xr:uid="{0D9D2489-872F-4B3A-A4CE-FFD0AEEA9E7F}"/>
    <cellStyle name="Bình thường 15 10" xfId="87" xr:uid="{ED24A22D-55B8-410C-B78E-5A4121CDA7DC}"/>
    <cellStyle name="Bình thường 15 11" xfId="90" xr:uid="{6E462B04-BFB1-4F5C-AF17-39B341E512FB}"/>
    <cellStyle name="Bình thường 15 12" xfId="93" xr:uid="{3FE86702-601C-4959-BC91-4BEBB6F32886}"/>
    <cellStyle name="Bình thường 15 13" xfId="95" xr:uid="{D1613D02-8EBD-40EA-B98E-A42B0FFFFC05}"/>
    <cellStyle name="Bình thường 15 14" xfId="98" xr:uid="{4104C99F-3D6E-4983-A785-D1837DE2E170}"/>
    <cellStyle name="Bình thường 15 15" xfId="101" xr:uid="{99F1D087-BD46-450F-8C08-9091B0C9114C}"/>
    <cellStyle name="Bình thường 15 16" xfId="104" xr:uid="{C31625C4-DF05-41BB-AFCB-811406AA17B5}"/>
    <cellStyle name="Bình thường 15 17" xfId="107" xr:uid="{E778F4B5-A98E-41A9-A2A7-E72FB363F526}"/>
    <cellStyle name="Bình thường 15 18" xfId="110" xr:uid="{2A7BDB2B-B69B-4327-B8C4-68C7D9D5747D}"/>
    <cellStyle name="Bình thường 15 19" xfId="113" xr:uid="{5B93C9A2-5375-4010-8DA4-2FDF021595CE}"/>
    <cellStyle name="Bình thường 15 2" xfId="58" xr:uid="{1956948D-8531-4828-8F53-599DB1B8C549}"/>
    <cellStyle name="Bình thường 15 20" xfId="116" xr:uid="{E3E12638-E15D-4A4B-BC57-B296082BB66C}"/>
    <cellStyle name="Bình thường 15 21" xfId="119" xr:uid="{CB7183AB-A7A1-4EE9-9173-37BE597E5858}"/>
    <cellStyle name="Bình thường 15 22" xfId="122" xr:uid="{773835B0-2EA9-44B2-8140-F793CCBF7C6A}"/>
    <cellStyle name="Bình thường 15 23" xfId="124" xr:uid="{DE68B190-3475-43C3-A666-E340D387A059}"/>
    <cellStyle name="Bình thường 15 24" xfId="127" xr:uid="{BC5088CB-A3D8-4812-9C15-114D545D86DB}"/>
    <cellStyle name="Bình thường 15 25" xfId="130" xr:uid="{75F1094E-535E-4636-95A0-EC04D9A059FF}"/>
    <cellStyle name="Bình thường 15 26" xfId="133" xr:uid="{717DAB7B-4910-4881-AFA8-9B5E868EDBAA}"/>
    <cellStyle name="Bình thường 15 27" xfId="136" xr:uid="{9071EF8C-78CD-45CC-9AF3-B85FC3533A10}"/>
    <cellStyle name="Bình thường 15 28" xfId="139" xr:uid="{E852975C-EBFF-48B2-BD25-B61AD496A886}"/>
    <cellStyle name="Bình thường 15 29" xfId="142" xr:uid="{5BCA59F7-CE05-49C1-9E8A-E780F53FC1C0}"/>
    <cellStyle name="Bình thường 15 3" xfId="61" xr:uid="{DD3FC102-5122-4B8F-A162-7469672A14E3}"/>
    <cellStyle name="Bình thường 15 30" xfId="146" xr:uid="{8DEE3577-3BE6-44AD-B406-976964F05EF1}"/>
    <cellStyle name="Bình thường 15 4" xfId="64" xr:uid="{617A3BC4-2D0F-4A6D-94CD-1135DF13A24B}"/>
    <cellStyle name="Bình thường 15 5" xfId="67" xr:uid="{118A68E1-7DE0-4D86-A857-A9274AA10F10}"/>
    <cellStyle name="Bình thường 15 5 2" xfId="70" xr:uid="{ADBAFC6D-817E-4FEA-96E1-382C2FBC23D7}"/>
    <cellStyle name="Bình thường 15 6" xfId="73" xr:uid="{B19FE84A-F307-4DB8-8252-7BE191918331}"/>
    <cellStyle name="Bình thường 15 7" xfId="78" xr:uid="{71A704B9-6955-49F6-9AB8-9B80544E7C7C}"/>
    <cellStyle name="Bình thường 15 8" xfId="79" xr:uid="{852E8C34-56BA-4FC8-8CEE-EC3B62DDB4DC}"/>
    <cellStyle name="Bình thường 15 9" xfId="82" xr:uid="{C48E5EC5-989E-4C05-B63D-F2B54B33C06E}"/>
    <cellStyle name="Bình thường 16" xfId="66" xr:uid="{04D5609D-2026-4E0B-8B91-EEC2C1D39202}"/>
    <cellStyle name="Bình thường 17" xfId="69" xr:uid="{F8520D78-2018-4628-961A-99DE27F3DDEF}"/>
    <cellStyle name="Bình thường 17 2" xfId="71" xr:uid="{20DCA92E-2815-44A5-BBC9-086A82478855}"/>
    <cellStyle name="Bình thường 18" xfId="74" xr:uid="{2963F3E4-1374-481D-9A45-E2001736D0BF}"/>
    <cellStyle name="Bình thường 19" xfId="77" xr:uid="{F088281A-C08F-4D9C-8631-85B978B54013}"/>
    <cellStyle name="Bình thường 2" xfId="42" xr:uid="{00000000-0005-0000-0000-000019000000}"/>
    <cellStyle name="Bình thường 20" xfId="81" xr:uid="{8FEB736A-CEDB-461C-AC40-BD2C3C201A59}"/>
    <cellStyle name="Bình thường 21" xfId="84" xr:uid="{DB239813-D5AA-4B06-B12F-EF111ED57E9D}"/>
    <cellStyle name="Bình thường 22" xfId="86" xr:uid="{422DAD38-EA83-42C4-827E-654E6AA6E720}"/>
    <cellStyle name="Bình thường 23" xfId="89" xr:uid="{518D71D6-C627-49CC-8E4F-C46A65A0F854}"/>
    <cellStyle name="Bình thường 24" xfId="92" xr:uid="{F0C61A6C-F4D3-4E86-A96B-DB9461B97F65}"/>
    <cellStyle name="Bình thường 25" xfId="94" xr:uid="{4E7E18AC-700A-4612-85E4-67FD784D32E8}"/>
    <cellStyle name="Bình thường 26" xfId="96" xr:uid="{5C202BFA-0C09-4E93-A16B-63E4FACBF855}"/>
    <cellStyle name="Bình thường 27" xfId="100" xr:uid="{913E52F0-49E6-4760-8212-8D04F2E9DA4C}"/>
    <cellStyle name="Bình thường 28" xfId="102" xr:uid="{B6BC346F-0EB5-42E6-9A0E-4D7A5490643B}"/>
    <cellStyle name="Bình thường 29" xfId="106" xr:uid="{456901D7-59F0-4196-A37E-6935E0A5ADD1}"/>
    <cellStyle name="Bình thường 3" xfId="43" xr:uid="{00000000-0005-0000-0000-00001A000000}"/>
    <cellStyle name="Bình thường 30" xfId="108" xr:uid="{509A8EEA-BB32-4872-969B-94929D9F11EE}"/>
    <cellStyle name="Bình thường 31" xfId="111" xr:uid="{31D1E95B-B2D5-4007-B794-21CC24B442ED}"/>
    <cellStyle name="Bình thường 32" xfId="115" xr:uid="{4229BD65-47AC-431D-A66A-3D29822BF7B8}"/>
    <cellStyle name="Bình thường 33" xfId="117" xr:uid="{59238504-9D1F-49B3-89F3-F68452FF9AFC}"/>
    <cellStyle name="Bình thường 34" xfId="121" xr:uid="{CF4DE2BC-FB38-495B-9BD8-DE1C026F7CC9}"/>
    <cellStyle name="Bình thường 35" xfId="123" xr:uid="{87714787-B5C7-48CC-BDB0-4A2A5228AAF5}"/>
    <cellStyle name="Bình thường 36" xfId="126" xr:uid="{59A3DF68-1587-4FB3-96F4-6566F72C0945}"/>
    <cellStyle name="Bình thường 37" xfId="129" xr:uid="{58B58672-BDC0-4EFB-864D-D8A37A72EA55}"/>
    <cellStyle name="Bình thường 38" xfId="132" xr:uid="{474D7BF3-A91A-4A54-B504-30FCEEFA8113}"/>
    <cellStyle name="Bình thường 39" xfId="135" xr:uid="{8CD15E52-2AFC-4A53-BF09-3EBD2FBC2CF9}"/>
    <cellStyle name="Bình thường 4" xfId="44" xr:uid="{1FD8E724-FFD1-4372-ABAA-56B8340BAB18}"/>
    <cellStyle name="Bình thường 4 2" xfId="45" xr:uid="{B345F4A9-A57E-4F4A-BCF3-D5EF1B6C34E1}"/>
    <cellStyle name="Bình thường 4 2 2" xfId="46" xr:uid="{C187AAA3-81E1-4651-BE2B-98A17E845815}"/>
    <cellStyle name="Bình thường 4 2 2 2" xfId="47" xr:uid="{DEBEF83D-90CE-4E25-9BB5-B76A8CF6383D}"/>
    <cellStyle name="Bình thường 40" xfId="137" xr:uid="{319A9725-1F07-43AC-A981-145DAF47948A}"/>
    <cellStyle name="Bình thường 41" xfId="141" xr:uid="{890F34EB-54E5-4BA9-BD1C-490CC279E53E}"/>
    <cellStyle name="Bình thường 42" xfId="144" xr:uid="{EEE2FB80-ACE8-4F71-8D4E-CC88D81417ED}"/>
    <cellStyle name="Bình thường 42 2" xfId="148" xr:uid="{9586B171-8579-4BE0-8404-B9A1906D14B8}"/>
    <cellStyle name="Bình thường 6" xfId="48" xr:uid="{D9A23A31-3377-4346-A058-99A63F4B4DF9}"/>
    <cellStyle name="Bình thường 7" xfId="49" xr:uid="{AA5D7225-F9FF-4A3A-9B05-607E21B2F275}"/>
    <cellStyle name="Bình thường 8" xfId="50" xr:uid="{CD46FAD1-EEFC-41F0-BE2C-F9282CE3C8C7}"/>
    <cellStyle name="Bình thường 8 2" xfId="51" xr:uid="{0F24B7EF-93F2-4250-A22A-F145F5E46EFB}"/>
    <cellStyle name="Bình thường 9" xfId="52" xr:uid="{B3E3C59D-0979-4242-AB72-C4D5C8EFBC0B}"/>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colors>
    <mruColors>
      <color rgb="FFF6F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2BE80-B29E-4E3C-A32F-432CC43BB938}">
  <sheetPr codeName="Sheet1">
    <tabColor rgb="FF92D050"/>
  </sheetPr>
  <dimension ref="A1:K18"/>
  <sheetViews>
    <sheetView tabSelected="1" topLeftCell="A13" workbookViewId="0">
      <selection activeCell="H11" sqref="H11"/>
    </sheetView>
  </sheetViews>
  <sheetFormatPr defaultColWidth="8.90625" defaultRowHeight="25" customHeight="1" x14ac:dyDescent="0.25"/>
  <cols>
    <col min="1" max="1" width="5.1796875" style="2" customWidth="1"/>
    <col min="2" max="2" width="27.54296875" style="3" customWidth="1"/>
    <col min="3" max="3" width="20.08984375" style="8" customWidth="1"/>
    <col min="4" max="5" width="4.81640625" style="1" customWidth="1"/>
    <col min="6" max="6" width="4" style="1" customWidth="1"/>
    <col min="7" max="8" width="4.81640625" style="1" customWidth="1"/>
    <col min="9" max="9" width="4.81640625" style="39" customWidth="1"/>
    <col min="10" max="10" width="4.6328125" style="27" customWidth="1"/>
    <col min="11" max="11" width="21.90625" style="28" customWidth="1"/>
    <col min="12" max="16384" width="8.90625" style="27"/>
  </cols>
  <sheetData>
    <row r="1" spans="1:11" ht="17.399999999999999" customHeight="1" x14ac:dyDescent="0.25">
      <c r="A1" s="40">
        <v>1</v>
      </c>
      <c r="B1" s="15" t="s">
        <v>90</v>
      </c>
      <c r="C1" s="16"/>
      <c r="D1" s="10">
        <v>25</v>
      </c>
      <c r="E1" s="10">
        <v>26</v>
      </c>
      <c r="F1" s="10">
        <v>27</v>
      </c>
      <c r="G1" s="10">
        <v>28</v>
      </c>
      <c r="H1" s="10">
        <v>29</v>
      </c>
      <c r="I1" s="10">
        <v>30</v>
      </c>
      <c r="J1" s="10">
        <v>31</v>
      </c>
      <c r="K1" s="26" t="s">
        <v>85</v>
      </c>
    </row>
    <row r="2" spans="1:11" ht="25" customHeight="1" x14ac:dyDescent="0.25">
      <c r="A2" s="41"/>
      <c r="B2" s="18" t="s">
        <v>22</v>
      </c>
      <c r="C2" s="6">
        <f>SUM(D2:J2)</f>
        <v>5</v>
      </c>
      <c r="D2" s="4">
        <v>1</v>
      </c>
      <c r="E2" s="4">
        <v>1</v>
      </c>
      <c r="F2" s="9"/>
      <c r="G2" s="4">
        <v>1</v>
      </c>
      <c r="H2" s="4">
        <v>1</v>
      </c>
      <c r="I2" s="4">
        <v>1</v>
      </c>
      <c r="J2" s="4"/>
    </row>
    <row r="3" spans="1:11" ht="25" customHeight="1" x14ac:dyDescent="0.25">
      <c r="A3" s="41"/>
      <c r="B3" s="18" t="s">
        <v>25</v>
      </c>
      <c r="C3" s="6">
        <f>SUM(D3:J3)</f>
        <v>760.00000000000011</v>
      </c>
      <c r="D3" s="4">
        <v>120.00000000000006</v>
      </c>
      <c r="E3" s="4">
        <v>60</v>
      </c>
      <c r="F3" s="9"/>
      <c r="G3" s="4">
        <v>240.00000000000003</v>
      </c>
      <c r="H3" s="4">
        <v>240.00000000000003</v>
      </c>
      <c r="I3" s="4">
        <v>60.000000000000028</v>
      </c>
      <c r="J3" s="4">
        <v>40</v>
      </c>
      <c r="K3" s="28">
        <f>C3/60</f>
        <v>12.666666666666668</v>
      </c>
    </row>
    <row r="4" spans="1:11" ht="25" customHeight="1" x14ac:dyDescent="0.25">
      <c r="A4" s="41"/>
      <c r="B4" s="23" t="s">
        <v>92</v>
      </c>
      <c r="C4" s="5" t="str">
        <f>COUNTIF(D4:J4,"X")&amp;" ngày"</f>
        <v>1 ngày</v>
      </c>
      <c r="D4" s="4" t="s">
        <v>0</v>
      </c>
      <c r="E4" s="4" t="s">
        <v>0</v>
      </c>
      <c r="F4" s="9"/>
      <c r="G4" s="4" t="s">
        <v>0</v>
      </c>
      <c r="H4" s="4" t="s">
        <v>0</v>
      </c>
      <c r="I4" s="4" t="s">
        <v>0</v>
      </c>
      <c r="J4" s="4" t="s">
        <v>84</v>
      </c>
    </row>
    <row r="5" spans="1:11" ht="25" customHeight="1" x14ac:dyDescent="0.25">
      <c r="A5" s="41"/>
      <c r="B5" s="36" t="s">
        <v>94</v>
      </c>
      <c r="C5" s="6"/>
      <c r="D5" s="4"/>
      <c r="E5" s="4"/>
      <c r="F5" s="9"/>
      <c r="G5" s="4"/>
      <c r="H5" s="4"/>
      <c r="I5" s="4"/>
      <c r="J5" s="4"/>
    </row>
    <row r="6" spans="1:11" ht="25" customHeight="1" x14ac:dyDescent="0.25">
      <c r="A6" s="42"/>
      <c r="B6" s="36" t="s">
        <v>95</v>
      </c>
      <c r="C6" s="6"/>
      <c r="D6" s="4"/>
      <c r="E6" s="4"/>
      <c r="F6" s="9"/>
      <c r="G6" s="4"/>
      <c r="H6" s="4"/>
      <c r="I6" s="4"/>
      <c r="J6" s="4"/>
    </row>
    <row r="7" spans="1:11" ht="25" customHeight="1" x14ac:dyDescent="0.25">
      <c r="A7" s="43">
        <v>2</v>
      </c>
      <c r="B7" s="15" t="s">
        <v>89</v>
      </c>
      <c r="C7" s="16"/>
      <c r="D7" s="10">
        <v>25</v>
      </c>
      <c r="E7" s="10">
        <v>26</v>
      </c>
      <c r="F7" s="10">
        <v>27</v>
      </c>
      <c r="G7" s="10">
        <v>28</v>
      </c>
      <c r="H7" s="10">
        <v>29</v>
      </c>
      <c r="I7" s="10">
        <v>30</v>
      </c>
      <c r="J7" s="10">
        <v>31</v>
      </c>
      <c r="K7" s="26" t="s">
        <v>85</v>
      </c>
    </row>
    <row r="8" spans="1:11" ht="25" customHeight="1" x14ac:dyDescent="0.25">
      <c r="A8" s="37"/>
      <c r="B8" s="18" t="s">
        <v>22</v>
      </c>
      <c r="C8" s="6">
        <f>SUM(D8:J8)</f>
        <v>11</v>
      </c>
      <c r="D8" s="4">
        <v>4</v>
      </c>
      <c r="E8" s="4">
        <v>1</v>
      </c>
      <c r="F8" s="9"/>
      <c r="G8" s="4">
        <v>2</v>
      </c>
      <c r="H8" s="4">
        <v>1</v>
      </c>
      <c r="I8" s="4">
        <v>2</v>
      </c>
      <c r="J8" s="4">
        <v>1</v>
      </c>
    </row>
    <row r="9" spans="1:11" ht="25" customHeight="1" x14ac:dyDescent="0.25">
      <c r="A9" s="37"/>
      <c r="B9" s="18" t="s">
        <v>25</v>
      </c>
      <c r="C9" s="6">
        <f>SUM(D9:J9)</f>
        <v>1425</v>
      </c>
      <c r="D9" s="4">
        <v>240</v>
      </c>
      <c r="E9" s="4">
        <v>120</v>
      </c>
      <c r="F9" s="9"/>
      <c r="G9" s="4">
        <v>330</v>
      </c>
      <c r="H9" s="4">
        <v>300</v>
      </c>
      <c r="I9" s="4">
        <v>75</v>
      </c>
      <c r="J9" s="4">
        <v>359.99999999999994</v>
      </c>
      <c r="K9" s="28">
        <f>C9/60</f>
        <v>23.75</v>
      </c>
    </row>
    <row r="10" spans="1:11" ht="25" customHeight="1" x14ac:dyDescent="0.25">
      <c r="A10" s="37"/>
      <c r="B10" s="23" t="s">
        <v>92</v>
      </c>
      <c r="C10" s="6"/>
      <c r="D10" s="4"/>
      <c r="E10" s="4"/>
      <c r="F10" s="9"/>
      <c r="G10" s="4"/>
      <c r="H10" s="4"/>
      <c r="I10" s="4"/>
      <c r="J10" s="4"/>
    </row>
    <row r="11" spans="1:11" ht="25" customHeight="1" x14ac:dyDescent="0.25">
      <c r="A11" s="37"/>
      <c r="B11" s="36" t="s">
        <v>94</v>
      </c>
      <c r="C11" s="6"/>
      <c r="D11" s="4"/>
      <c r="E11" s="4"/>
      <c r="F11" s="9"/>
      <c r="G11" s="4"/>
      <c r="H11" s="4"/>
      <c r="I11" s="4"/>
      <c r="J11" s="4"/>
    </row>
    <row r="12" spans="1:11" ht="25" customHeight="1" x14ac:dyDescent="0.25">
      <c r="A12" s="38"/>
      <c r="B12" s="36" t="s">
        <v>95</v>
      </c>
      <c r="C12" s="6"/>
      <c r="D12" s="4"/>
      <c r="E12" s="4"/>
      <c r="F12" s="9"/>
      <c r="G12" s="4"/>
      <c r="H12" s="4"/>
      <c r="I12" s="4"/>
      <c r="J12" s="4"/>
    </row>
    <row r="13" spans="1:11" ht="25" customHeight="1" x14ac:dyDescent="0.25">
      <c r="A13" s="43">
        <v>3</v>
      </c>
      <c r="B13" s="15" t="s">
        <v>88</v>
      </c>
      <c r="C13" s="16"/>
      <c r="D13" s="10">
        <v>25</v>
      </c>
      <c r="E13" s="10">
        <v>26</v>
      </c>
      <c r="F13" s="10">
        <v>27</v>
      </c>
      <c r="G13" s="10">
        <v>28</v>
      </c>
      <c r="H13" s="10">
        <v>29</v>
      </c>
      <c r="I13" s="10">
        <v>30</v>
      </c>
      <c r="J13" s="10">
        <v>31</v>
      </c>
      <c r="K13" s="26" t="s">
        <v>85</v>
      </c>
    </row>
    <row r="14" spans="1:11" ht="25" customHeight="1" x14ac:dyDescent="0.25">
      <c r="A14" s="37"/>
      <c r="B14" s="18" t="s">
        <v>22</v>
      </c>
      <c r="C14" s="6">
        <f>SUM(D14:J14)</f>
        <v>7</v>
      </c>
      <c r="D14" s="25" t="s">
        <v>47</v>
      </c>
      <c r="E14" s="25" t="s">
        <v>47</v>
      </c>
      <c r="F14" s="9"/>
      <c r="G14" s="4">
        <v>2</v>
      </c>
      <c r="H14" s="4">
        <v>2</v>
      </c>
      <c r="I14" s="4">
        <v>1</v>
      </c>
      <c r="J14" s="4">
        <v>2</v>
      </c>
    </row>
    <row r="15" spans="1:11" ht="25" customHeight="1" x14ac:dyDescent="0.25">
      <c r="A15" s="37"/>
      <c r="B15" s="18" t="s">
        <v>25</v>
      </c>
      <c r="C15" s="6">
        <f>SUM(D15:J15)</f>
        <v>1650</v>
      </c>
      <c r="D15" s="25" t="s">
        <v>47</v>
      </c>
      <c r="E15" s="25" t="s">
        <v>47</v>
      </c>
      <c r="F15" s="9"/>
      <c r="G15" s="4">
        <v>270</v>
      </c>
      <c r="H15" s="4">
        <v>540</v>
      </c>
      <c r="I15" s="4">
        <v>540</v>
      </c>
      <c r="J15" s="4">
        <v>300</v>
      </c>
      <c r="K15" s="28">
        <f>C15/60</f>
        <v>27.5</v>
      </c>
    </row>
    <row r="16" spans="1:11" ht="25" customHeight="1" x14ac:dyDescent="0.25">
      <c r="A16" s="37"/>
      <c r="B16" s="18" t="s">
        <v>50</v>
      </c>
      <c r="C16" s="29" t="s">
        <v>86</v>
      </c>
      <c r="D16" s="25" t="s">
        <v>47</v>
      </c>
      <c r="E16" s="25" t="s">
        <v>47</v>
      </c>
      <c r="F16" s="9"/>
      <c r="G16" s="4"/>
      <c r="H16" s="4"/>
      <c r="I16" s="4"/>
      <c r="J16" s="4"/>
    </row>
    <row r="17" spans="1:10" ht="25" customHeight="1" x14ac:dyDescent="0.25">
      <c r="A17" s="37"/>
      <c r="B17" s="24" t="s">
        <v>0</v>
      </c>
      <c r="C17" s="6"/>
      <c r="D17" s="4"/>
      <c r="E17" s="4"/>
      <c r="F17" s="9"/>
      <c r="G17" s="4"/>
      <c r="H17" s="4"/>
      <c r="I17" s="4"/>
      <c r="J17" s="4"/>
    </row>
    <row r="18" spans="1:10" ht="25" customHeight="1" x14ac:dyDescent="0.25">
      <c r="A18" s="38"/>
      <c r="B18" s="7"/>
      <c r="C18" s="6"/>
      <c r="D18" s="4"/>
      <c r="E18" s="4"/>
      <c r="F18" s="9"/>
      <c r="G18" s="4"/>
      <c r="H18" s="4"/>
      <c r="I18" s="4"/>
      <c r="J18" s="4"/>
    </row>
  </sheetData>
  <mergeCells count="3">
    <mergeCell ref="A13:A18"/>
    <mergeCell ref="A1:A6"/>
    <mergeCell ref="A7:A12"/>
  </mergeCells>
  <conditionalFormatting sqref="B2:B1048576">
    <cfRule type="duplicateValues" dxfId="0" priority="2"/>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BEF6F-1780-4D07-9436-1A65544AD429}">
  <sheetPr codeName="Sheet2">
    <tabColor rgb="FFFF0000"/>
  </sheetPr>
  <dimension ref="A1:R28"/>
  <sheetViews>
    <sheetView showGridLines="0" topLeftCell="A7" workbookViewId="0">
      <selection sqref="A1:A4"/>
    </sheetView>
  </sheetViews>
  <sheetFormatPr defaultColWidth="8.90625" defaultRowHeight="20" customHeight="1" x14ac:dyDescent="0.25"/>
  <cols>
    <col min="1" max="1" width="14.08984375" style="32" customWidth="1"/>
    <col min="2" max="2" width="12.453125" style="31" customWidth="1"/>
    <col min="3" max="3" width="23.81640625" style="7" customWidth="1"/>
    <col min="4" max="4" width="21.453125" style="6" customWidth="1"/>
    <col min="5" max="6" width="3.81640625" style="4" customWidth="1"/>
    <col min="7" max="7" width="3.6328125" style="9" customWidth="1"/>
    <col min="8" max="11" width="3.81640625" style="4" customWidth="1"/>
    <col min="12" max="12" width="9.54296875" style="19" customWidth="1"/>
    <col min="13" max="13" width="9" style="11" customWidth="1"/>
    <col min="14" max="14" width="14.453125" style="11" bestFit="1" customWidth="1"/>
    <col min="15" max="15" width="15.08984375" style="11" customWidth="1"/>
    <col min="16" max="16" width="35.54296875" style="11" bestFit="1" customWidth="1"/>
    <col min="17" max="17" width="48.81640625" style="11" customWidth="1"/>
    <col min="18" max="18" width="54.08984375" style="11" customWidth="1"/>
    <col min="19" max="16384" width="8.90625" style="11"/>
  </cols>
  <sheetData>
    <row r="1" spans="1:18" ht="20" customHeight="1" x14ac:dyDescent="0.25">
      <c r="A1" s="33">
        <v>1</v>
      </c>
      <c r="B1" s="16"/>
      <c r="C1" s="10">
        <v>25</v>
      </c>
      <c r="D1" s="10">
        <v>26</v>
      </c>
      <c r="E1" s="10">
        <v>27</v>
      </c>
      <c r="F1" s="10">
        <v>28</v>
      </c>
      <c r="G1" s="10">
        <v>29</v>
      </c>
      <c r="H1" s="10">
        <v>30</v>
      </c>
      <c r="I1" s="10">
        <v>31</v>
      </c>
      <c r="J1" s="26" t="s">
        <v>85</v>
      </c>
      <c r="K1" s="10">
        <v>31</v>
      </c>
      <c r="L1" s="17" t="s">
        <v>21</v>
      </c>
      <c r="M1" s="12" t="s">
        <v>83</v>
      </c>
      <c r="N1" s="12" t="s">
        <v>1</v>
      </c>
      <c r="O1" s="12" t="s">
        <v>2</v>
      </c>
      <c r="P1" s="12" t="s">
        <v>3</v>
      </c>
      <c r="Q1" s="12" t="s">
        <v>4</v>
      </c>
      <c r="R1" s="12" t="s">
        <v>5</v>
      </c>
    </row>
    <row r="2" spans="1:18" ht="20" customHeight="1" x14ac:dyDescent="0.25">
      <c r="A2" s="34"/>
      <c r="B2" s="6">
        <f>SUM(C2:I2)</f>
        <v>5</v>
      </c>
      <c r="C2" s="4">
        <v>1</v>
      </c>
      <c r="D2" s="4">
        <v>1</v>
      </c>
      <c r="E2" s="9"/>
      <c r="F2" s="4">
        <v>1</v>
      </c>
      <c r="G2" s="4">
        <v>1</v>
      </c>
      <c r="H2" s="4">
        <v>1</v>
      </c>
      <c r="J2" s="28"/>
      <c r="L2" s="20">
        <v>120.00000000000006</v>
      </c>
      <c r="M2" s="21">
        <v>202569</v>
      </c>
      <c r="N2" s="22">
        <v>44190.541666666664</v>
      </c>
      <c r="O2" s="22">
        <v>44190.625</v>
      </c>
      <c r="P2" s="30" t="s">
        <v>87</v>
      </c>
      <c r="Q2" s="21" t="s">
        <v>70</v>
      </c>
      <c r="R2" s="21" t="s">
        <v>71</v>
      </c>
    </row>
    <row r="3" spans="1:18" ht="20" customHeight="1" x14ac:dyDescent="0.25">
      <c r="A3" s="34"/>
      <c r="B3" s="6">
        <f>SUM(C3:I3)</f>
        <v>760.00000000000011</v>
      </c>
      <c r="C3" s="4">
        <v>120.00000000000006</v>
      </c>
      <c r="D3" s="4">
        <v>60</v>
      </c>
      <c r="E3" s="9"/>
      <c r="F3" s="4">
        <v>240.00000000000003</v>
      </c>
      <c r="G3" s="4">
        <v>240.00000000000003</v>
      </c>
      <c r="H3" s="4">
        <v>60.000000000000028</v>
      </c>
      <c r="I3" s="4">
        <v>40</v>
      </c>
      <c r="J3" s="28">
        <f>B3/60</f>
        <v>12.666666666666668</v>
      </c>
      <c r="K3" s="4">
        <f>C3/60</f>
        <v>2.0000000000000009</v>
      </c>
      <c r="L3" s="19">
        <v>60</v>
      </c>
      <c r="M3" s="13"/>
      <c r="N3" s="13" t="s">
        <v>23</v>
      </c>
      <c r="O3" s="13" t="s">
        <v>6</v>
      </c>
      <c r="P3" s="14" t="s">
        <v>28</v>
      </c>
      <c r="Q3" s="14" t="s">
        <v>24</v>
      </c>
      <c r="R3" s="14" t="s">
        <v>8</v>
      </c>
    </row>
    <row r="4" spans="1:18" ht="20" customHeight="1" x14ac:dyDescent="0.25">
      <c r="A4" s="34"/>
      <c r="B4" s="5" t="str">
        <f>COUNTIF(C4:I4,"X")&amp;" ngày"</f>
        <v>1 ngày</v>
      </c>
      <c r="C4" s="4" t="s">
        <v>0</v>
      </c>
      <c r="D4" s="4" t="s">
        <v>0</v>
      </c>
      <c r="E4" s="9"/>
      <c r="F4" s="4" t="s">
        <v>0</v>
      </c>
      <c r="G4" s="4" t="s">
        <v>0</v>
      </c>
      <c r="H4" s="4" t="s">
        <v>0</v>
      </c>
      <c r="I4" s="4" t="s">
        <v>84</v>
      </c>
      <c r="J4" s="28"/>
      <c r="K4" s="4" t="s">
        <v>84</v>
      </c>
      <c r="L4" s="20">
        <v>240.00000000000003</v>
      </c>
      <c r="M4" s="21">
        <v>202570</v>
      </c>
      <c r="N4" s="22">
        <v>44193.333333333336</v>
      </c>
      <c r="O4" s="22">
        <v>44193.5</v>
      </c>
      <c r="P4" s="21" t="s">
        <v>9</v>
      </c>
      <c r="Q4" s="21" t="s">
        <v>72</v>
      </c>
      <c r="R4" s="21" t="s">
        <v>73</v>
      </c>
    </row>
    <row r="5" spans="1:18" ht="20" customHeight="1" x14ac:dyDescent="0.25">
      <c r="A5" s="34"/>
      <c r="B5" s="6"/>
      <c r="C5" s="4"/>
      <c r="D5" s="4"/>
      <c r="E5" s="9"/>
      <c r="G5" s="4"/>
      <c r="J5" s="28"/>
      <c r="L5" s="20">
        <v>240.00000000000003</v>
      </c>
      <c r="M5" s="21">
        <v>202571</v>
      </c>
      <c r="N5" s="22">
        <v>44194.333333333336</v>
      </c>
      <c r="O5" s="22">
        <v>44194.5</v>
      </c>
      <c r="P5" s="21" t="s">
        <v>74</v>
      </c>
      <c r="Q5" s="21" t="s">
        <v>75</v>
      </c>
      <c r="R5" s="21" t="s">
        <v>76</v>
      </c>
    </row>
    <row r="6" spans="1:18" ht="20" customHeight="1" x14ac:dyDescent="0.25">
      <c r="A6" s="35"/>
      <c r="B6" s="6"/>
      <c r="C6" s="4"/>
      <c r="D6" s="4"/>
      <c r="E6" s="9"/>
      <c r="G6" s="4"/>
      <c r="J6" s="28"/>
      <c r="L6" s="20">
        <v>60.000000000000028</v>
      </c>
      <c r="M6" s="21">
        <v>202572</v>
      </c>
      <c r="N6" s="22">
        <v>44195.375</v>
      </c>
      <c r="O6" s="22">
        <v>44195.416666666664</v>
      </c>
      <c r="P6" s="21" t="s">
        <v>7</v>
      </c>
      <c r="Q6" s="21" t="s">
        <v>68</v>
      </c>
      <c r="R6" s="21" t="s">
        <v>69</v>
      </c>
    </row>
    <row r="7" spans="1:18" ht="20" customHeight="1" x14ac:dyDescent="0.25">
      <c r="A7" s="33">
        <v>2</v>
      </c>
      <c r="B7" s="16"/>
      <c r="C7" s="10">
        <v>25</v>
      </c>
      <c r="D7" s="10">
        <v>26</v>
      </c>
      <c r="E7" s="10">
        <v>27</v>
      </c>
      <c r="F7" s="10">
        <v>28</v>
      </c>
      <c r="G7" s="10">
        <v>29</v>
      </c>
      <c r="H7" s="10">
        <v>30</v>
      </c>
      <c r="I7" s="10">
        <v>31</v>
      </c>
      <c r="J7" s="26" t="s">
        <v>85</v>
      </c>
      <c r="K7" s="10">
        <v>31</v>
      </c>
      <c r="L7" s="17" t="s">
        <v>21</v>
      </c>
      <c r="M7" s="12" t="s">
        <v>83</v>
      </c>
      <c r="N7" s="12" t="s">
        <v>1</v>
      </c>
      <c r="O7" s="12" t="s">
        <v>2</v>
      </c>
      <c r="P7" s="12" t="s">
        <v>3</v>
      </c>
      <c r="Q7" s="12" t="s">
        <v>4</v>
      </c>
      <c r="R7" s="12" t="s">
        <v>5</v>
      </c>
    </row>
    <row r="8" spans="1:18" ht="20" customHeight="1" x14ac:dyDescent="0.25">
      <c r="A8" s="34"/>
      <c r="B8" s="6">
        <f>SUM(C8:I8)</f>
        <v>11</v>
      </c>
      <c r="C8" s="4">
        <v>4</v>
      </c>
      <c r="D8" s="4">
        <v>1</v>
      </c>
      <c r="E8" s="9"/>
      <c r="F8" s="4">
        <v>2</v>
      </c>
      <c r="G8" s="4">
        <v>1</v>
      </c>
      <c r="H8" s="4">
        <v>2</v>
      </c>
      <c r="I8" s="4">
        <v>1</v>
      </c>
      <c r="J8" s="28"/>
      <c r="K8" s="4">
        <v>1</v>
      </c>
      <c r="L8" s="19">
        <v>60</v>
      </c>
      <c r="M8" s="13"/>
      <c r="N8" s="13" t="s">
        <v>26</v>
      </c>
      <c r="O8" s="13" t="s">
        <v>6</v>
      </c>
      <c r="P8" s="14" t="s">
        <v>14</v>
      </c>
      <c r="Q8" s="14" t="s">
        <v>27</v>
      </c>
      <c r="R8" s="14" t="s">
        <v>15</v>
      </c>
    </row>
    <row r="9" spans="1:18" ht="20" customHeight="1" x14ac:dyDescent="0.25">
      <c r="A9" s="34"/>
      <c r="B9" s="6">
        <f>SUM(C9:I9)</f>
        <v>1425</v>
      </c>
      <c r="C9" s="4">
        <v>240</v>
      </c>
      <c r="D9" s="4">
        <v>120</v>
      </c>
      <c r="E9" s="9"/>
      <c r="F9" s="4">
        <v>330</v>
      </c>
      <c r="G9" s="4">
        <v>300</v>
      </c>
      <c r="H9" s="4">
        <v>75</v>
      </c>
      <c r="I9" s="4">
        <v>359.99999999999994</v>
      </c>
      <c r="J9" s="28">
        <f>B9/60</f>
        <v>23.75</v>
      </c>
      <c r="K9" s="4">
        <f>C9/60</f>
        <v>4</v>
      </c>
      <c r="L9" s="19">
        <v>60</v>
      </c>
      <c r="M9" s="13"/>
      <c r="N9" s="13" t="s">
        <v>26</v>
      </c>
      <c r="O9" s="13" t="s">
        <v>18</v>
      </c>
      <c r="P9" s="14" t="s">
        <v>28</v>
      </c>
      <c r="Q9" s="14" t="s">
        <v>29</v>
      </c>
      <c r="R9" s="14" t="s">
        <v>15</v>
      </c>
    </row>
    <row r="10" spans="1:18" ht="20" customHeight="1" x14ac:dyDescent="0.25">
      <c r="A10" s="34"/>
      <c r="B10" s="6"/>
      <c r="C10" s="4"/>
      <c r="D10" s="4"/>
      <c r="E10" s="9"/>
      <c r="G10" s="4"/>
      <c r="J10" s="28"/>
      <c r="L10" s="19">
        <v>60</v>
      </c>
      <c r="M10" s="13"/>
      <c r="N10" s="13" t="s">
        <v>26</v>
      </c>
      <c r="O10" s="13" t="s">
        <v>12</v>
      </c>
      <c r="P10" s="14" t="s">
        <v>30</v>
      </c>
      <c r="Q10" s="14" t="s">
        <v>29</v>
      </c>
      <c r="R10" s="14" t="s">
        <v>15</v>
      </c>
    </row>
    <row r="11" spans="1:18" ht="15.5" x14ac:dyDescent="0.25">
      <c r="A11" s="34"/>
      <c r="B11" s="6"/>
      <c r="C11" s="4"/>
      <c r="D11" s="4"/>
      <c r="E11" s="9"/>
      <c r="G11" s="4"/>
      <c r="J11" s="28"/>
      <c r="L11" s="19">
        <v>60</v>
      </c>
      <c r="M11" s="13"/>
      <c r="N11" s="13" t="s">
        <v>26</v>
      </c>
      <c r="O11" s="13" t="s">
        <v>31</v>
      </c>
      <c r="P11" s="14" t="s">
        <v>32</v>
      </c>
      <c r="Q11" s="14" t="s">
        <v>29</v>
      </c>
      <c r="R11" s="14" t="s">
        <v>15</v>
      </c>
    </row>
    <row r="12" spans="1:18" ht="25" x14ac:dyDescent="0.25">
      <c r="A12" s="35"/>
      <c r="B12" s="6"/>
      <c r="C12" s="4"/>
      <c r="D12" s="4"/>
      <c r="E12" s="9"/>
      <c r="G12" s="4"/>
      <c r="J12" s="28"/>
      <c r="L12" s="19">
        <v>120</v>
      </c>
      <c r="M12" s="13"/>
      <c r="N12" s="13" t="s">
        <v>23</v>
      </c>
      <c r="O12" s="13" t="s">
        <v>6</v>
      </c>
      <c r="P12" s="14" t="s">
        <v>7</v>
      </c>
      <c r="Q12" s="14" t="s">
        <v>33</v>
      </c>
      <c r="R12" s="14" t="s">
        <v>11</v>
      </c>
    </row>
    <row r="13" spans="1:18" ht="103.5" x14ac:dyDescent="0.25">
      <c r="A13" s="33">
        <v>3</v>
      </c>
      <c r="B13" s="16"/>
      <c r="C13" s="10">
        <v>25</v>
      </c>
      <c r="D13" s="10">
        <v>26</v>
      </c>
      <c r="E13" s="10">
        <v>27</v>
      </c>
      <c r="F13" s="10">
        <v>28</v>
      </c>
      <c r="G13" s="10">
        <v>29</v>
      </c>
      <c r="H13" s="10">
        <v>30</v>
      </c>
      <c r="I13" s="10">
        <v>31</v>
      </c>
      <c r="J13" s="26" t="s">
        <v>85</v>
      </c>
      <c r="K13" s="10">
        <v>31</v>
      </c>
      <c r="L13" s="19">
        <v>300</v>
      </c>
      <c r="M13" s="13"/>
      <c r="N13" s="13" t="s">
        <v>34</v>
      </c>
      <c r="O13" s="13" t="s">
        <v>6</v>
      </c>
      <c r="P13" s="14" t="s">
        <v>7</v>
      </c>
      <c r="Q13" s="14" t="s">
        <v>35</v>
      </c>
      <c r="R13" s="14" t="s">
        <v>36</v>
      </c>
    </row>
    <row r="14" spans="1:18" ht="25" x14ac:dyDescent="0.25">
      <c r="A14" s="34"/>
      <c r="B14" s="6">
        <f>SUM(C14:I14)</f>
        <v>7</v>
      </c>
      <c r="C14" s="25" t="s">
        <v>47</v>
      </c>
      <c r="D14" s="25" t="s">
        <v>47</v>
      </c>
      <c r="E14" s="9"/>
      <c r="F14" s="4">
        <v>2</v>
      </c>
      <c r="G14" s="4">
        <v>2</v>
      </c>
      <c r="H14" s="4">
        <v>1</v>
      </c>
      <c r="I14" s="4">
        <v>2</v>
      </c>
      <c r="J14" s="28"/>
      <c r="L14" s="19">
        <v>30</v>
      </c>
      <c r="M14" s="13"/>
      <c r="N14" s="13" t="s">
        <v>34</v>
      </c>
      <c r="O14" s="13" t="s">
        <v>37</v>
      </c>
      <c r="P14" s="14" t="s">
        <v>7</v>
      </c>
      <c r="Q14" s="14" t="s">
        <v>38</v>
      </c>
      <c r="R14" s="14" t="s">
        <v>39</v>
      </c>
    </row>
    <row r="15" spans="1:18" ht="25" x14ac:dyDescent="0.25">
      <c r="A15" s="34"/>
      <c r="B15" s="6">
        <f>SUM(C15:I15)</f>
        <v>1650</v>
      </c>
      <c r="C15" s="25" t="s">
        <v>47</v>
      </c>
      <c r="D15" s="25" t="s">
        <v>47</v>
      </c>
      <c r="E15" s="9"/>
      <c r="F15" s="4">
        <v>270</v>
      </c>
      <c r="G15" s="4">
        <v>540</v>
      </c>
      <c r="H15" s="4">
        <v>540</v>
      </c>
      <c r="I15" s="4">
        <v>300</v>
      </c>
      <c r="J15" s="28">
        <f>B15/60</f>
        <v>27.5</v>
      </c>
      <c r="K15" s="4" t="e">
        <f>C15/60</f>
        <v>#VALUE!</v>
      </c>
      <c r="L15" s="19">
        <v>300</v>
      </c>
      <c r="M15" s="13"/>
      <c r="N15" s="13" t="s">
        <v>40</v>
      </c>
      <c r="O15" s="13" t="s">
        <v>41</v>
      </c>
      <c r="P15" s="14" t="s">
        <v>20</v>
      </c>
      <c r="Q15" s="14" t="s">
        <v>42</v>
      </c>
      <c r="R15" s="14" t="s">
        <v>36</v>
      </c>
    </row>
    <row r="16" spans="1:18" ht="25" x14ac:dyDescent="0.25">
      <c r="A16" s="34"/>
      <c r="B16" s="29" t="s">
        <v>86</v>
      </c>
      <c r="C16" s="25" t="s">
        <v>47</v>
      </c>
      <c r="D16" s="25" t="s">
        <v>47</v>
      </c>
      <c r="E16" s="9"/>
      <c r="G16" s="4"/>
      <c r="J16" s="28"/>
      <c r="L16" s="19">
        <v>15</v>
      </c>
      <c r="M16" s="13"/>
      <c r="N16" s="13" t="s">
        <v>43</v>
      </c>
      <c r="O16" s="13" t="s">
        <v>13</v>
      </c>
      <c r="P16" s="14" t="s">
        <v>44</v>
      </c>
      <c r="Q16" s="14" t="s">
        <v>45</v>
      </c>
      <c r="R16" s="14" t="s">
        <v>15</v>
      </c>
    </row>
    <row r="17" spans="1:18" ht="25" x14ac:dyDescent="0.25">
      <c r="A17" s="34"/>
      <c r="B17" s="6"/>
      <c r="C17" s="4"/>
      <c r="D17" s="4"/>
      <c r="E17" s="9"/>
      <c r="G17" s="4"/>
      <c r="J17" s="28"/>
      <c r="L17" s="19">
        <v>60</v>
      </c>
      <c r="M17" s="13"/>
      <c r="N17" s="13" t="s">
        <v>43</v>
      </c>
      <c r="O17" s="13" t="s">
        <v>10</v>
      </c>
      <c r="P17" s="14" t="s">
        <v>7</v>
      </c>
      <c r="Q17" s="14" t="s">
        <v>46</v>
      </c>
      <c r="R17" s="14" t="s">
        <v>15</v>
      </c>
    </row>
    <row r="18" spans="1:18" ht="20" customHeight="1" x14ac:dyDescent="0.25">
      <c r="A18" s="35"/>
      <c r="B18" s="6"/>
      <c r="C18" s="4"/>
      <c r="D18" s="4"/>
      <c r="E18" s="9"/>
      <c r="G18" s="4"/>
      <c r="J18" s="28"/>
      <c r="L18" s="20">
        <v>359.99999999999994</v>
      </c>
      <c r="M18" s="21">
        <v>202582</v>
      </c>
      <c r="N18" s="22">
        <v>44196.416666666664</v>
      </c>
      <c r="O18" s="22">
        <v>44196.666666666664</v>
      </c>
      <c r="P18" s="21" t="s">
        <v>80</v>
      </c>
      <c r="Q18" s="21" t="s">
        <v>81</v>
      </c>
      <c r="R18" s="21" t="s">
        <v>82</v>
      </c>
    </row>
    <row r="19" spans="1:18" ht="20" customHeight="1" x14ac:dyDescent="0.25">
      <c r="A19" s="32" t="s">
        <v>93</v>
      </c>
      <c r="B19" s="31" t="s">
        <v>91</v>
      </c>
      <c r="C19" s="15" t="s">
        <v>88</v>
      </c>
      <c r="D19" s="16"/>
      <c r="E19" s="10">
        <v>25</v>
      </c>
      <c r="F19" s="10">
        <v>26</v>
      </c>
      <c r="G19" s="10">
        <v>27</v>
      </c>
      <c r="H19" s="10">
        <v>28</v>
      </c>
      <c r="I19" s="10">
        <v>29</v>
      </c>
      <c r="J19" s="10">
        <v>30</v>
      </c>
      <c r="K19" s="10">
        <v>31</v>
      </c>
      <c r="L19" s="17" t="s">
        <v>21</v>
      </c>
      <c r="M19" s="12" t="s">
        <v>83</v>
      </c>
      <c r="N19" s="12" t="s">
        <v>1</v>
      </c>
      <c r="O19" s="12" t="s">
        <v>2</v>
      </c>
      <c r="P19" s="12" t="s">
        <v>3</v>
      </c>
      <c r="Q19" s="12" t="s">
        <v>4</v>
      </c>
      <c r="R19" s="12" t="s">
        <v>5</v>
      </c>
    </row>
    <row r="20" spans="1:18" ht="20" customHeight="1" x14ac:dyDescent="0.25">
      <c r="C20" s="18" t="s">
        <v>22</v>
      </c>
      <c r="D20" s="6">
        <f>SUM(E20:K20)</f>
        <v>7</v>
      </c>
      <c r="E20" s="25" t="s">
        <v>47</v>
      </c>
      <c r="F20" s="25" t="s">
        <v>47</v>
      </c>
      <c r="H20" s="4">
        <v>2</v>
      </c>
      <c r="I20" s="4">
        <v>2</v>
      </c>
      <c r="J20" s="4">
        <v>1</v>
      </c>
      <c r="K20" s="4">
        <v>2</v>
      </c>
      <c r="L20" s="19" t="s">
        <v>47</v>
      </c>
      <c r="M20" s="13"/>
      <c r="N20" s="13" t="s">
        <v>26</v>
      </c>
      <c r="O20" s="13" t="s">
        <v>6</v>
      </c>
      <c r="P20" s="14" t="s">
        <v>32</v>
      </c>
      <c r="Q20" s="14" t="s">
        <v>48</v>
      </c>
      <c r="R20" s="14" t="s">
        <v>49</v>
      </c>
    </row>
    <row r="21" spans="1:18" ht="20" customHeight="1" x14ac:dyDescent="0.25">
      <c r="C21" s="18" t="s">
        <v>25</v>
      </c>
      <c r="D21" s="6">
        <f>SUM(E21:K21)</f>
        <v>1650</v>
      </c>
      <c r="E21" s="25" t="s">
        <v>47</v>
      </c>
      <c r="F21" s="25" t="s">
        <v>47</v>
      </c>
      <c r="H21" s="4">
        <v>270</v>
      </c>
      <c r="I21" s="4">
        <v>540</v>
      </c>
      <c r="J21" s="4">
        <v>540</v>
      </c>
      <c r="K21" s="4">
        <v>300</v>
      </c>
      <c r="L21" s="19" t="s">
        <v>47</v>
      </c>
      <c r="M21" s="13"/>
      <c r="N21" s="13" t="s">
        <v>23</v>
      </c>
      <c r="O21" s="13" t="s">
        <v>6</v>
      </c>
      <c r="P21" s="14" t="s">
        <v>14</v>
      </c>
      <c r="Q21" s="14" t="s">
        <v>48</v>
      </c>
      <c r="R21" s="14" t="s">
        <v>49</v>
      </c>
    </row>
    <row r="22" spans="1:18" ht="25" x14ac:dyDescent="0.25">
      <c r="C22" s="18" t="s">
        <v>50</v>
      </c>
      <c r="D22" s="29" t="s">
        <v>86</v>
      </c>
      <c r="E22" s="25" t="s">
        <v>47</v>
      </c>
      <c r="F22" s="25" t="s">
        <v>47</v>
      </c>
      <c r="L22" s="19">
        <v>180</v>
      </c>
      <c r="M22" s="13"/>
      <c r="N22" s="13" t="s">
        <v>34</v>
      </c>
      <c r="O22" s="13" t="s">
        <v>13</v>
      </c>
      <c r="P22" s="14" t="s">
        <v>51</v>
      </c>
      <c r="Q22" s="14" t="s">
        <v>52</v>
      </c>
      <c r="R22" s="14" t="s">
        <v>17</v>
      </c>
    </row>
    <row r="23" spans="1:18" ht="20" hidden="1" customHeight="1" x14ac:dyDescent="0.25">
      <c r="C23" s="24" t="s">
        <v>0</v>
      </c>
      <c r="L23" s="20">
        <v>90</v>
      </c>
      <c r="M23" s="21">
        <v>202550</v>
      </c>
      <c r="N23" s="22">
        <v>44193.541666666664</v>
      </c>
      <c r="O23" s="22">
        <v>44193.604166666664</v>
      </c>
      <c r="P23" s="21" t="s">
        <v>77</v>
      </c>
      <c r="Q23" s="21" t="s">
        <v>78</v>
      </c>
      <c r="R23" s="21" t="s">
        <v>79</v>
      </c>
    </row>
    <row r="24" spans="1:18" ht="20" hidden="1" customHeight="1" x14ac:dyDescent="0.25">
      <c r="L24" s="19">
        <v>300</v>
      </c>
      <c r="M24" s="13"/>
      <c r="N24" s="13" t="s">
        <v>40</v>
      </c>
      <c r="O24" s="13" t="s">
        <v>18</v>
      </c>
      <c r="P24" s="14" t="s">
        <v>19</v>
      </c>
      <c r="Q24" s="14" t="s">
        <v>53</v>
      </c>
      <c r="R24" s="14" t="s">
        <v>54</v>
      </c>
    </row>
    <row r="25" spans="1:18" ht="20" hidden="1" customHeight="1" x14ac:dyDescent="0.25">
      <c r="L25" s="19">
        <v>240</v>
      </c>
      <c r="M25" s="13"/>
      <c r="N25" s="13" t="s">
        <v>40</v>
      </c>
      <c r="O25" s="13" t="s">
        <v>55</v>
      </c>
      <c r="P25" s="14" t="s">
        <v>56</v>
      </c>
      <c r="Q25" s="14" t="s">
        <v>57</v>
      </c>
      <c r="R25" s="14" t="s">
        <v>58</v>
      </c>
    </row>
    <row r="26" spans="1:18" ht="20" hidden="1" customHeight="1" x14ac:dyDescent="0.25">
      <c r="L26" s="19">
        <v>540</v>
      </c>
      <c r="M26" s="13"/>
      <c r="N26" s="13" t="s">
        <v>43</v>
      </c>
      <c r="O26" s="13" t="s">
        <v>6</v>
      </c>
      <c r="P26" s="14" t="s">
        <v>59</v>
      </c>
      <c r="Q26" s="14" t="s">
        <v>60</v>
      </c>
      <c r="R26" s="14" t="s">
        <v>61</v>
      </c>
    </row>
    <row r="27" spans="1:18" ht="25" x14ac:dyDescent="0.25">
      <c r="L27" s="19">
        <v>180</v>
      </c>
      <c r="M27" s="13"/>
      <c r="N27" s="13" t="s">
        <v>62</v>
      </c>
      <c r="O27" s="13" t="s">
        <v>16</v>
      </c>
      <c r="P27" s="14" t="s">
        <v>63</v>
      </c>
      <c r="Q27" s="14" t="s">
        <v>64</v>
      </c>
      <c r="R27" s="14" t="s">
        <v>17</v>
      </c>
    </row>
    <row r="28" spans="1:18" ht="20" customHeight="1" x14ac:dyDescent="0.25">
      <c r="L28" s="19">
        <v>120</v>
      </c>
      <c r="M28" s="13"/>
      <c r="N28" s="13" t="s">
        <v>62</v>
      </c>
      <c r="O28" s="13" t="s">
        <v>12</v>
      </c>
      <c r="P28" s="14" t="s">
        <v>65</v>
      </c>
      <c r="Q28" s="14" t="s">
        <v>66</v>
      </c>
      <c r="R28" s="14" t="s">
        <v>67</v>
      </c>
    </row>
  </sheetData>
  <mergeCells count="3">
    <mergeCell ref="A1:A6"/>
    <mergeCell ref="A7:A12"/>
    <mergeCell ref="A13:A18"/>
  </mergeCells>
  <printOptions horizontalCentered="1"/>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5DE18-7DD7-471F-93F4-3403EA87F545}">
  <sheetPr codeName="Sheet46"/>
  <dimension ref="A1:P6"/>
  <sheetViews>
    <sheetView workbookViewId="0"/>
  </sheetViews>
  <sheetFormatPr defaultRowHeight="12.5" x14ac:dyDescent="0.25"/>
  <cols>
    <col min="1" max="1" width="22" bestFit="1" customWidth="1"/>
    <col min="2" max="2" width="6.6328125" bestFit="1" customWidth="1"/>
    <col min="3" max="3" width="3.54296875" bestFit="1" customWidth="1"/>
    <col min="4" max="5" width="2.6328125" bestFit="1" customWidth="1"/>
    <col min="6" max="7" width="3.54296875" bestFit="1" customWidth="1"/>
    <col min="8" max="9" width="2.6328125" bestFit="1" customWidth="1"/>
    <col min="10" max="10" width="13.453125" bestFit="1" customWidth="1"/>
    <col min="11" max="11" width="6.81640625" bestFit="1" customWidth="1"/>
    <col min="12" max="13" width="15.08984375" bestFit="1" customWidth="1"/>
    <col min="14" max="14" width="48.36328125" bestFit="1" customWidth="1"/>
    <col min="15" max="15" width="62.90625" bestFit="1" customWidth="1"/>
    <col min="16" max="16" width="207.08984375" bestFit="1" customWidth="1"/>
  </cols>
  <sheetData>
    <row r="1" spans="1:16" s="11" customFormat="1" ht="20" customHeight="1" x14ac:dyDescent="0.25">
      <c r="A1" s="15" t="s">
        <v>90</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20" customHeight="1" x14ac:dyDescent="0.25">
      <c r="A2" s="18" t="s">
        <v>22</v>
      </c>
      <c r="B2" s="6">
        <f>SUM(C2:I2)</f>
        <v>5</v>
      </c>
      <c r="C2" s="4">
        <v>1</v>
      </c>
      <c r="D2" s="4">
        <v>1</v>
      </c>
      <c r="E2" s="9"/>
      <c r="F2" s="4">
        <v>1</v>
      </c>
      <c r="G2" s="4">
        <v>1</v>
      </c>
      <c r="H2" s="4">
        <v>1</v>
      </c>
      <c r="I2" s="4"/>
      <c r="J2" s="20">
        <v>120.00000000000006</v>
      </c>
      <c r="K2" s="21">
        <v>202569</v>
      </c>
      <c r="L2" s="22">
        <v>44190.541666666664</v>
      </c>
      <c r="M2" s="22">
        <v>44190.625</v>
      </c>
      <c r="N2" s="30" t="s">
        <v>87</v>
      </c>
      <c r="O2" s="21" t="s">
        <v>70</v>
      </c>
      <c r="P2" s="21" t="s">
        <v>71</v>
      </c>
    </row>
    <row r="3" spans="1:16" s="11" customFormat="1" ht="20" customHeight="1" x14ac:dyDescent="0.25">
      <c r="A3" s="18" t="s">
        <v>25</v>
      </c>
      <c r="B3" s="6">
        <f>SUM(C3:I3)</f>
        <v>760.00000000000011</v>
      </c>
      <c r="C3" s="4">
        <v>120.00000000000006</v>
      </c>
      <c r="D3" s="4">
        <v>60</v>
      </c>
      <c r="E3" s="9"/>
      <c r="F3" s="4">
        <v>240.00000000000003</v>
      </c>
      <c r="G3" s="4">
        <v>240.00000000000003</v>
      </c>
      <c r="H3" s="4">
        <v>60.000000000000028</v>
      </c>
      <c r="I3" s="4">
        <v>40</v>
      </c>
      <c r="J3" s="19">
        <v>60</v>
      </c>
      <c r="K3" s="13"/>
      <c r="L3" s="13" t="s">
        <v>23</v>
      </c>
      <c r="M3" s="13" t="s">
        <v>6</v>
      </c>
      <c r="N3" s="14" t="s">
        <v>28</v>
      </c>
      <c r="O3" s="14" t="s">
        <v>24</v>
      </c>
      <c r="P3" s="14" t="s">
        <v>8</v>
      </c>
    </row>
    <row r="4" spans="1:16" s="11" customFormat="1" ht="20" customHeight="1" x14ac:dyDescent="0.25">
      <c r="A4" s="23" t="s">
        <v>92</v>
      </c>
      <c r="B4" s="5" t="str">
        <f>COUNTIF(C4:I4,"X")&amp;" ngày"</f>
        <v>1 ngày</v>
      </c>
      <c r="C4" s="4" t="s">
        <v>0</v>
      </c>
      <c r="D4" s="4" t="s">
        <v>0</v>
      </c>
      <c r="E4" s="9"/>
      <c r="F4" s="4" t="s">
        <v>0</v>
      </c>
      <c r="G4" s="4" t="s">
        <v>0</v>
      </c>
      <c r="H4" s="4" t="s">
        <v>0</v>
      </c>
      <c r="I4" s="4" t="s">
        <v>84</v>
      </c>
      <c r="J4" s="20">
        <v>240.00000000000003</v>
      </c>
      <c r="K4" s="21">
        <v>202570</v>
      </c>
      <c r="L4" s="22">
        <v>44193.333333333336</v>
      </c>
      <c r="M4" s="22">
        <v>44193.5</v>
      </c>
      <c r="N4" s="21" t="s">
        <v>9</v>
      </c>
      <c r="O4" s="21" t="s">
        <v>72</v>
      </c>
      <c r="P4" s="21" t="s">
        <v>73</v>
      </c>
    </row>
    <row r="5" spans="1:16" s="11" customFormat="1" ht="20" customHeight="1" x14ac:dyDescent="0.25">
      <c r="A5" s="36" t="s">
        <v>94</v>
      </c>
      <c r="B5" s="6"/>
      <c r="C5" s="4"/>
      <c r="D5" s="4"/>
      <c r="E5" s="9"/>
      <c r="F5" s="4"/>
      <c r="G5" s="4"/>
      <c r="H5" s="4"/>
      <c r="I5" s="4"/>
      <c r="J5" s="20">
        <v>240.00000000000003</v>
      </c>
      <c r="K5" s="21">
        <v>202571</v>
      </c>
      <c r="L5" s="22">
        <v>44194.333333333336</v>
      </c>
      <c r="M5" s="22">
        <v>44194.5</v>
      </c>
      <c r="N5" s="21" t="s">
        <v>74</v>
      </c>
      <c r="O5" s="21" t="s">
        <v>75</v>
      </c>
      <c r="P5" s="21" t="s">
        <v>76</v>
      </c>
    </row>
    <row r="6" spans="1:16" s="11" customFormat="1" ht="20" customHeight="1" x14ac:dyDescent="0.25">
      <c r="A6" s="36" t="s">
        <v>95</v>
      </c>
      <c r="B6" s="6"/>
      <c r="C6" s="4"/>
      <c r="D6" s="4"/>
      <c r="E6" s="9"/>
      <c r="F6" s="4"/>
      <c r="G6" s="4"/>
      <c r="H6" s="4"/>
      <c r="I6" s="4"/>
      <c r="J6" s="20">
        <v>60.000000000000028</v>
      </c>
      <c r="K6" s="21">
        <v>202572</v>
      </c>
      <c r="L6" s="22">
        <v>44195.375</v>
      </c>
      <c r="M6" s="22">
        <v>44195.416666666664</v>
      </c>
      <c r="N6" s="21" t="s">
        <v>7</v>
      </c>
      <c r="O6" s="21" t="s">
        <v>68</v>
      </c>
      <c r="P6" s="21"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6C788-AADE-4F0A-9DC7-D0F6604694A0}">
  <sheetPr codeName="Sheet47"/>
  <dimension ref="A1:P12"/>
  <sheetViews>
    <sheetView workbookViewId="0"/>
  </sheetViews>
  <sheetFormatPr defaultRowHeight="12.5" x14ac:dyDescent="0.25"/>
  <cols>
    <col min="1" max="1" width="22" bestFit="1" customWidth="1"/>
    <col min="2" max="2" width="5.1796875" bestFit="1" customWidth="1"/>
    <col min="3" max="4" width="3.54296875" bestFit="1" customWidth="1"/>
    <col min="5" max="5" width="2.6328125" bestFit="1" customWidth="1"/>
    <col min="6" max="7" width="3.54296875" bestFit="1" customWidth="1"/>
    <col min="8" max="8" width="2.6328125" bestFit="1" customWidth="1"/>
    <col min="9" max="9" width="3.54296875" bestFit="1" customWidth="1"/>
    <col min="10" max="10" width="13.453125" bestFit="1" customWidth="1"/>
    <col min="11" max="11" width="6.81640625" bestFit="1" customWidth="1"/>
    <col min="12" max="13" width="15.08984375" bestFit="1" customWidth="1"/>
    <col min="14" max="14" width="54.1796875" bestFit="1" customWidth="1"/>
    <col min="15" max="15" width="64" bestFit="1" customWidth="1"/>
    <col min="16" max="16" width="60.08984375" bestFit="1" customWidth="1"/>
  </cols>
  <sheetData>
    <row r="1" spans="1:16" s="11" customFormat="1" ht="20" customHeight="1" x14ac:dyDescent="0.25">
      <c r="A1" s="15" t="s">
        <v>89</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20" customHeight="1" x14ac:dyDescent="0.25">
      <c r="A2" s="18" t="s">
        <v>22</v>
      </c>
      <c r="B2" s="6">
        <f>SUM(C2:I2)</f>
        <v>11</v>
      </c>
      <c r="C2" s="4">
        <v>4</v>
      </c>
      <c r="D2" s="4">
        <v>1</v>
      </c>
      <c r="E2" s="9"/>
      <c r="F2" s="4">
        <v>2</v>
      </c>
      <c r="G2" s="4">
        <v>1</v>
      </c>
      <c r="H2" s="4">
        <v>2</v>
      </c>
      <c r="I2" s="4">
        <v>1</v>
      </c>
      <c r="J2" s="19">
        <v>60</v>
      </c>
      <c r="K2" s="13"/>
      <c r="L2" s="13" t="s">
        <v>26</v>
      </c>
      <c r="M2" s="13" t="s">
        <v>6</v>
      </c>
      <c r="N2" s="14" t="s">
        <v>14</v>
      </c>
      <c r="O2" s="14" t="s">
        <v>27</v>
      </c>
      <c r="P2" s="14" t="s">
        <v>15</v>
      </c>
    </row>
    <row r="3" spans="1:16" s="11" customFormat="1" ht="20" customHeight="1" x14ac:dyDescent="0.25">
      <c r="A3" s="18" t="s">
        <v>25</v>
      </c>
      <c r="B3" s="6">
        <f>SUM(C3:I3)</f>
        <v>1425</v>
      </c>
      <c r="C3" s="4">
        <v>240</v>
      </c>
      <c r="D3" s="4">
        <v>120</v>
      </c>
      <c r="E3" s="9"/>
      <c r="F3" s="4">
        <v>330</v>
      </c>
      <c r="G3" s="4">
        <v>300</v>
      </c>
      <c r="H3" s="4">
        <v>75</v>
      </c>
      <c r="I3" s="4">
        <v>359.99999999999994</v>
      </c>
      <c r="J3" s="19">
        <v>60</v>
      </c>
      <c r="K3" s="13"/>
      <c r="L3" s="13" t="s">
        <v>26</v>
      </c>
      <c r="M3" s="13" t="s">
        <v>18</v>
      </c>
      <c r="N3" s="14" t="s">
        <v>28</v>
      </c>
      <c r="O3" s="14" t="s">
        <v>29</v>
      </c>
      <c r="P3" s="14" t="s">
        <v>15</v>
      </c>
    </row>
    <row r="4" spans="1:16" s="11" customFormat="1" ht="20" customHeight="1" x14ac:dyDescent="0.25">
      <c r="A4" s="23" t="s">
        <v>92</v>
      </c>
      <c r="B4" s="6"/>
      <c r="C4" s="4"/>
      <c r="D4" s="4"/>
      <c r="E4" s="9"/>
      <c r="F4" s="4"/>
      <c r="G4" s="4"/>
      <c r="H4" s="4"/>
      <c r="I4" s="4"/>
      <c r="J4" s="19">
        <v>60</v>
      </c>
      <c r="K4" s="13"/>
      <c r="L4" s="13" t="s">
        <v>26</v>
      </c>
      <c r="M4" s="13" t="s">
        <v>12</v>
      </c>
      <c r="N4" s="14" t="s">
        <v>30</v>
      </c>
      <c r="O4" s="14" t="s">
        <v>29</v>
      </c>
      <c r="P4" s="14" t="s">
        <v>15</v>
      </c>
    </row>
    <row r="5" spans="1:16" s="11" customFormat="1" ht="62.5" x14ac:dyDescent="0.25">
      <c r="A5" s="36" t="s">
        <v>94</v>
      </c>
      <c r="B5" s="6"/>
      <c r="C5" s="4"/>
      <c r="D5" s="4"/>
      <c r="E5" s="9"/>
      <c r="F5" s="4"/>
      <c r="G5" s="4"/>
      <c r="H5" s="4"/>
      <c r="I5" s="4"/>
      <c r="J5" s="19">
        <v>60</v>
      </c>
      <c r="K5" s="13"/>
      <c r="L5" s="13" t="s">
        <v>26</v>
      </c>
      <c r="M5" s="13" t="s">
        <v>31</v>
      </c>
      <c r="N5" s="14" t="s">
        <v>32</v>
      </c>
      <c r="O5" s="14" t="s">
        <v>29</v>
      </c>
      <c r="P5" s="14" t="s">
        <v>15</v>
      </c>
    </row>
    <row r="6" spans="1:16" s="11" customFormat="1" ht="87.5" x14ac:dyDescent="0.25">
      <c r="A6" s="36" t="s">
        <v>95</v>
      </c>
      <c r="B6" s="6"/>
      <c r="C6" s="4"/>
      <c r="D6" s="4"/>
      <c r="E6" s="9"/>
      <c r="F6" s="4"/>
      <c r="G6" s="4"/>
      <c r="H6" s="4"/>
      <c r="I6" s="4"/>
      <c r="J6" s="19">
        <v>120</v>
      </c>
      <c r="K6" s="13"/>
      <c r="L6" s="13" t="s">
        <v>23</v>
      </c>
      <c r="M6" s="13" t="s">
        <v>6</v>
      </c>
      <c r="N6" s="14" t="s">
        <v>7</v>
      </c>
      <c r="O6" s="14" t="s">
        <v>33</v>
      </c>
      <c r="P6" s="14" t="s">
        <v>11</v>
      </c>
    </row>
    <row r="7" spans="1:16" s="11" customFormat="1" ht="187.5" x14ac:dyDescent="0.25">
      <c r="A7" s="7"/>
      <c r="B7" s="6"/>
      <c r="C7" s="4"/>
      <c r="D7" s="4"/>
      <c r="E7" s="9"/>
      <c r="F7" s="4"/>
      <c r="G7" s="4"/>
      <c r="H7" s="4"/>
      <c r="I7" s="4"/>
      <c r="J7" s="19">
        <v>300</v>
      </c>
      <c r="K7" s="13"/>
      <c r="L7" s="13" t="s">
        <v>34</v>
      </c>
      <c r="M7" s="13" t="s">
        <v>6</v>
      </c>
      <c r="N7" s="14" t="s">
        <v>7</v>
      </c>
      <c r="O7" s="14" t="s">
        <v>35</v>
      </c>
      <c r="P7" s="14" t="s">
        <v>36</v>
      </c>
    </row>
    <row r="8" spans="1:16" s="11" customFormat="1" ht="87.5" x14ac:dyDescent="0.25">
      <c r="A8" s="7"/>
      <c r="B8" s="6"/>
      <c r="C8" s="4"/>
      <c r="D8" s="4"/>
      <c r="E8" s="9"/>
      <c r="F8" s="4"/>
      <c r="G8" s="4"/>
      <c r="H8" s="4"/>
      <c r="I8" s="4"/>
      <c r="J8" s="19">
        <v>30</v>
      </c>
      <c r="K8" s="13"/>
      <c r="L8" s="13" t="s">
        <v>34</v>
      </c>
      <c r="M8" s="13" t="s">
        <v>37</v>
      </c>
      <c r="N8" s="14" t="s">
        <v>7</v>
      </c>
      <c r="O8" s="14" t="s">
        <v>38</v>
      </c>
      <c r="P8" s="14" t="s">
        <v>39</v>
      </c>
    </row>
    <row r="9" spans="1:16" s="11" customFormat="1" ht="75" x14ac:dyDescent="0.25">
      <c r="A9" s="7"/>
      <c r="B9" s="6"/>
      <c r="C9" s="4"/>
      <c r="D9" s="4"/>
      <c r="E9" s="9"/>
      <c r="F9" s="4"/>
      <c r="G9" s="4"/>
      <c r="H9" s="4"/>
      <c r="I9" s="4"/>
      <c r="J9" s="19">
        <v>300</v>
      </c>
      <c r="K9" s="13"/>
      <c r="L9" s="13" t="s">
        <v>40</v>
      </c>
      <c r="M9" s="13" t="s">
        <v>41</v>
      </c>
      <c r="N9" s="14" t="s">
        <v>20</v>
      </c>
      <c r="O9" s="14" t="s">
        <v>42</v>
      </c>
      <c r="P9" s="14" t="s">
        <v>36</v>
      </c>
    </row>
    <row r="10" spans="1:16" s="11" customFormat="1" ht="87.5" x14ac:dyDescent="0.25">
      <c r="A10" s="7"/>
      <c r="B10" s="6"/>
      <c r="C10" s="4"/>
      <c r="D10" s="4"/>
      <c r="E10" s="9"/>
      <c r="F10" s="4"/>
      <c r="G10" s="4"/>
      <c r="H10" s="4"/>
      <c r="I10" s="4"/>
      <c r="J10" s="19">
        <v>15</v>
      </c>
      <c r="K10" s="13"/>
      <c r="L10" s="13" t="s">
        <v>43</v>
      </c>
      <c r="M10" s="13" t="s">
        <v>13</v>
      </c>
      <c r="N10" s="14" t="s">
        <v>44</v>
      </c>
      <c r="O10" s="14" t="s">
        <v>45</v>
      </c>
      <c r="P10" s="14" t="s">
        <v>15</v>
      </c>
    </row>
    <row r="11" spans="1:16" s="11" customFormat="1" ht="112.5" x14ac:dyDescent="0.25">
      <c r="A11" s="7"/>
      <c r="B11" s="6"/>
      <c r="C11" s="4"/>
      <c r="D11" s="4"/>
      <c r="E11" s="9"/>
      <c r="F11" s="4"/>
      <c r="G11" s="4"/>
      <c r="H11" s="4"/>
      <c r="I11" s="4"/>
      <c r="J11" s="19">
        <v>60</v>
      </c>
      <c r="K11" s="13"/>
      <c r="L11" s="13" t="s">
        <v>43</v>
      </c>
      <c r="M11" s="13" t="s">
        <v>10</v>
      </c>
      <c r="N11" s="14" t="s">
        <v>7</v>
      </c>
      <c r="O11" s="14" t="s">
        <v>46</v>
      </c>
      <c r="P11" s="14" t="s">
        <v>15</v>
      </c>
    </row>
    <row r="12" spans="1:16" s="11" customFormat="1" ht="20" customHeight="1" x14ac:dyDescent="0.25">
      <c r="A12" s="24" t="s">
        <v>0</v>
      </c>
      <c r="B12" s="6"/>
      <c r="C12" s="4"/>
      <c r="D12" s="4"/>
      <c r="E12" s="9"/>
      <c r="F12" s="4"/>
      <c r="G12" s="4"/>
      <c r="H12" s="4"/>
      <c r="I12" s="4"/>
      <c r="J12" s="20">
        <v>359.99999999999994</v>
      </c>
      <c r="K12" s="21">
        <v>202582</v>
      </c>
      <c r="L12" s="22">
        <v>44196.416666666664</v>
      </c>
      <c r="M12" s="22">
        <v>44196.666666666664</v>
      </c>
      <c r="N12" s="21" t="s">
        <v>80</v>
      </c>
      <c r="O12" s="21" t="s">
        <v>81</v>
      </c>
      <c r="P12" s="21" t="s">
        <v>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35994-CC28-4404-8275-3FFF91E4D392}">
  <sheetPr codeName="Sheet48"/>
  <dimension ref="A1:P9"/>
  <sheetViews>
    <sheetView workbookViewId="0"/>
  </sheetViews>
  <sheetFormatPr defaultRowHeight="12.5" x14ac:dyDescent="0.25"/>
  <cols>
    <col min="1" max="1" width="17.26953125" bestFit="1" customWidth="1"/>
    <col min="2" max="2" width="6.90625" bestFit="1" customWidth="1"/>
    <col min="3" max="5" width="2.6328125" bestFit="1" customWidth="1"/>
    <col min="6" max="9" width="3.54296875" bestFit="1" customWidth="1"/>
    <col min="10" max="10" width="13.453125" bestFit="1" customWidth="1"/>
    <col min="11" max="11" width="6.81640625" bestFit="1" customWidth="1"/>
    <col min="12" max="13" width="15.08984375" bestFit="1" customWidth="1"/>
    <col min="14" max="14" width="55.1796875" bestFit="1" customWidth="1"/>
    <col min="15" max="15" width="79.26953125" bestFit="1" customWidth="1"/>
    <col min="16" max="16" width="87.453125" bestFit="1" customWidth="1"/>
  </cols>
  <sheetData>
    <row r="1" spans="1:16" s="11" customFormat="1" ht="20" customHeight="1" x14ac:dyDescent="0.25">
      <c r="A1" s="15" t="s">
        <v>88</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20" customHeight="1" x14ac:dyDescent="0.25">
      <c r="A2" s="18" t="s">
        <v>22</v>
      </c>
      <c r="B2" s="6">
        <f>SUM(C2:I2)</f>
        <v>7</v>
      </c>
      <c r="C2" s="25" t="s">
        <v>47</v>
      </c>
      <c r="D2" s="25" t="s">
        <v>47</v>
      </c>
      <c r="E2" s="9"/>
      <c r="F2" s="4">
        <v>2</v>
      </c>
      <c r="G2" s="4">
        <v>2</v>
      </c>
      <c r="H2" s="4">
        <v>1</v>
      </c>
      <c r="I2" s="4">
        <v>2</v>
      </c>
      <c r="J2" s="19" t="s">
        <v>47</v>
      </c>
      <c r="K2" s="13"/>
      <c r="L2" s="13" t="s">
        <v>26</v>
      </c>
      <c r="M2" s="13" t="s">
        <v>6</v>
      </c>
      <c r="N2" s="14" t="s">
        <v>32</v>
      </c>
      <c r="O2" s="14" t="s">
        <v>48</v>
      </c>
      <c r="P2" s="14" t="s">
        <v>49</v>
      </c>
    </row>
    <row r="3" spans="1:16" s="11" customFormat="1" ht="20" customHeight="1" x14ac:dyDescent="0.25">
      <c r="A3" s="18" t="s">
        <v>25</v>
      </c>
      <c r="B3" s="6">
        <f>SUM(C3:I3)</f>
        <v>1650</v>
      </c>
      <c r="C3" s="25" t="s">
        <v>47</v>
      </c>
      <c r="D3" s="25" t="s">
        <v>47</v>
      </c>
      <c r="E3" s="9"/>
      <c r="F3" s="4">
        <v>270</v>
      </c>
      <c r="G3" s="4">
        <v>540</v>
      </c>
      <c r="H3" s="4">
        <v>540</v>
      </c>
      <c r="I3" s="4">
        <v>300</v>
      </c>
      <c r="J3" s="19" t="s">
        <v>47</v>
      </c>
      <c r="K3" s="13"/>
      <c r="L3" s="13" t="s">
        <v>23</v>
      </c>
      <c r="M3" s="13" t="s">
        <v>6</v>
      </c>
      <c r="N3" s="14" t="s">
        <v>14</v>
      </c>
      <c r="O3" s="14" t="s">
        <v>48</v>
      </c>
      <c r="P3" s="14" t="s">
        <v>49</v>
      </c>
    </row>
    <row r="4" spans="1:16" s="11" customFormat="1" ht="87.5" x14ac:dyDescent="0.25">
      <c r="A4" s="18" t="s">
        <v>50</v>
      </c>
      <c r="B4" s="29" t="s">
        <v>86</v>
      </c>
      <c r="C4" s="25" t="s">
        <v>47</v>
      </c>
      <c r="D4" s="25" t="s">
        <v>47</v>
      </c>
      <c r="E4" s="9"/>
      <c r="F4" s="4"/>
      <c r="G4" s="4"/>
      <c r="H4" s="4"/>
      <c r="I4" s="4"/>
      <c r="J4" s="19">
        <v>180</v>
      </c>
      <c r="K4" s="13"/>
      <c r="L4" s="13" t="s">
        <v>34</v>
      </c>
      <c r="M4" s="13" t="s">
        <v>13</v>
      </c>
      <c r="N4" s="14" t="s">
        <v>51</v>
      </c>
      <c r="O4" s="14" t="s">
        <v>52</v>
      </c>
      <c r="P4" s="14" t="s">
        <v>17</v>
      </c>
    </row>
    <row r="5" spans="1:16" s="11" customFormat="1" ht="20" hidden="1" customHeight="1" x14ac:dyDescent="0.25">
      <c r="A5" s="24" t="s">
        <v>0</v>
      </c>
      <c r="B5" s="6"/>
      <c r="C5" s="4"/>
      <c r="D5" s="4"/>
      <c r="E5" s="9"/>
      <c r="F5" s="4"/>
      <c r="G5" s="4"/>
      <c r="H5" s="4"/>
      <c r="I5" s="4"/>
      <c r="J5" s="20">
        <v>90</v>
      </c>
      <c r="K5" s="21">
        <v>202550</v>
      </c>
      <c r="L5" s="22">
        <v>44193.541666666664</v>
      </c>
      <c r="M5" s="22">
        <v>44193.604166666664</v>
      </c>
      <c r="N5" s="21" t="s">
        <v>77</v>
      </c>
      <c r="O5" s="21" t="s">
        <v>78</v>
      </c>
      <c r="P5" s="21" t="s">
        <v>79</v>
      </c>
    </row>
    <row r="6" spans="1:16" s="11" customFormat="1" ht="20" hidden="1" customHeight="1" x14ac:dyDescent="0.25">
      <c r="A6" s="7"/>
      <c r="B6" s="6"/>
      <c r="C6" s="4"/>
      <c r="D6" s="4"/>
      <c r="E6" s="9"/>
      <c r="F6" s="4"/>
      <c r="G6" s="4"/>
      <c r="H6" s="4"/>
      <c r="I6" s="4"/>
      <c r="J6" s="19">
        <v>300</v>
      </c>
      <c r="K6" s="13"/>
      <c r="L6" s="13" t="s">
        <v>40</v>
      </c>
      <c r="M6" s="13" t="s">
        <v>18</v>
      </c>
      <c r="N6" s="14" t="s">
        <v>19</v>
      </c>
      <c r="O6" s="14" t="s">
        <v>53</v>
      </c>
      <c r="P6" s="14" t="s">
        <v>54</v>
      </c>
    </row>
    <row r="7" spans="1:16" s="11" customFormat="1" ht="20" hidden="1" customHeight="1" x14ac:dyDescent="0.25">
      <c r="A7" s="7"/>
      <c r="B7" s="6"/>
      <c r="C7" s="4"/>
      <c r="D7" s="4"/>
      <c r="E7" s="9"/>
      <c r="F7" s="4"/>
      <c r="G7" s="4"/>
      <c r="H7" s="4"/>
      <c r="I7" s="4"/>
      <c r="J7" s="19">
        <v>240</v>
      </c>
      <c r="K7" s="13"/>
      <c r="L7" s="13" t="s">
        <v>40</v>
      </c>
      <c r="M7" s="13" t="s">
        <v>55</v>
      </c>
      <c r="N7" s="14" t="s">
        <v>56</v>
      </c>
      <c r="O7" s="14" t="s">
        <v>57</v>
      </c>
      <c r="P7" s="14" t="s">
        <v>58</v>
      </c>
    </row>
    <row r="8" spans="1:16" s="11" customFormat="1" ht="20" hidden="1" customHeight="1" x14ac:dyDescent="0.25">
      <c r="A8" s="7"/>
      <c r="B8" s="6"/>
      <c r="C8" s="4"/>
      <c r="D8" s="4"/>
      <c r="E8" s="9"/>
      <c r="F8" s="4"/>
      <c r="G8" s="4"/>
      <c r="H8" s="4"/>
      <c r="I8" s="4"/>
      <c r="J8" s="19">
        <v>540</v>
      </c>
      <c r="K8" s="13"/>
      <c r="L8" s="13" t="s">
        <v>43</v>
      </c>
      <c r="M8" s="13" t="s">
        <v>6</v>
      </c>
      <c r="N8" s="14" t="s">
        <v>59</v>
      </c>
      <c r="O8" s="14" t="s">
        <v>60</v>
      </c>
      <c r="P8" s="14" t="s">
        <v>61</v>
      </c>
    </row>
    <row r="9" spans="1:16" s="11" customFormat="1" ht="112.5" x14ac:dyDescent="0.25">
      <c r="A9" s="7"/>
      <c r="B9" s="6"/>
      <c r="C9" s="4"/>
      <c r="D9" s="4"/>
      <c r="E9" s="9"/>
      <c r="F9" s="4"/>
      <c r="G9" s="4"/>
      <c r="H9" s="4"/>
      <c r="I9" s="4"/>
      <c r="J9" s="19">
        <v>180</v>
      </c>
      <c r="K9" s="13"/>
      <c r="L9" s="13" t="s">
        <v>62</v>
      </c>
      <c r="M9" s="13" t="s">
        <v>16</v>
      </c>
      <c r="N9" s="14" t="s">
        <v>63</v>
      </c>
      <c r="O9" s="14" t="s">
        <v>64</v>
      </c>
      <c r="P9" s="14"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KT_bc</vt:lpstr>
      <vt:lpstr>Gốc</vt:lpstr>
      <vt:lpstr>nguyenduy</vt:lpstr>
      <vt:lpstr>duytruong</vt:lpstr>
      <vt:lpstr>anhminh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Giao dịch theo NV Liên hệ</dc:title>
  <dc:creator>ASUS</dc:creator>
  <cp:lastModifiedBy>Cong Huan Nguyen</cp:lastModifiedBy>
  <dcterms:created xsi:type="dcterms:W3CDTF">2019-08-19T09:06:37Z</dcterms:created>
  <dcterms:modified xsi:type="dcterms:W3CDTF">2021-01-08T08:29:30Z</dcterms:modified>
</cp:coreProperties>
</file>