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Desktop\Git\ForMom\"/>
    </mc:Choice>
  </mc:AlternateContent>
  <bookViews>
    <workbookView xWindow="-108" yWindow="-108" windowWidth="19416" windowHeight="10416" tabRatio="826" activeTab="1"/>
  </bookViews>
  <sheets>
    <sheet name="KT_bc" sheetId="42" r:id="rId1"/>
    <sheet name="Gốc" sheetId="95" r:id="rId2"/>
    <sheet name="nguyenduy" sheetId="92" r:id="rId3"/>
    <sheet name="duytruong" sheetId="93" r:id="rId4"/>
    <sheet name="anhminh" sheetId="94" r:id="rId5"/>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1" i="95" l="1"/>
  <c r="D30" i="95"/>
  <c r="D53" i="95"/>
  <c r="D52" i="95"/>
  <c r="D41" i="95"/>
  <c r="D40" i="95"/>
  <c r="D21" i="95" l="1"/>
  <c r="D20" i="95"/>
  <c r="D9" i="95"/>
  <c r="D8" i="95"/>
  <c r="D4" i="95"/>
  <c r="D3" i="95"/>
  <c r="D2" i="95"/>
  <c r="B3" i="94" l="1"/>
  <c r="B2" i="94"/>
  <c r="B3" i="93"/>
  <c r="B2" i="93"/>
  <c r="K15" i="42"/>
  <c r="C15" i="42"/>
  <c r="C14" i="42"/>
  <c r="B4" i="92"/>
  <c r="B3" i="92"/>
  <c r="B2" i="92"/>
  <c r="K9" i="42"/>
  <c r="C9" i="42"/>
  <c r="C8" i="42"/>
  <c r="K3" i="42"/>
  <c r="C4" i="42"/>
  <c r="C3" i="42"/>
  <c r="C2" i="42"/>
</calcChain>
</file>

<file path=xl/sharedStrings.xml><?xml version="1.0" encoding="utf-8"?>
<sst xmlns="http://schemas.openxmlformats.org/spreadsheetml/2006/main" count="563" uniqueCount="103">
  <si>
    <t/>
  </si>
  <si>
    <t>Ngày thực hiện</t>
  </si>
  <si>
    <t>Giờ thực hiện:</t>
  </si>
  <si>
    <t>Tên Khách hàng</t>
  </si>
  <si>
    <t>Yêu cầu công việc</t>
  </si>
  <si>
    <t>Kết Quả</t>
  </si>
  <si>
    <t>08:00</t>
  </si>
  <si>
    <t>CÔNG TY TNHH HT&amp;PT CNTĐ HỢP TRIỂN - VP HCM</t>
  </si>
  <si>
    <t>Hoàn Tất</t>
  </si>
  <si>
    <t>CN5 CTY TNHH MTV CHẾ BIẾN THỰC PHẨM THỌ PHÁT</t>
  </si>
  <si>
    <t>14:00</t>
  </si>
  <si>
    <t>120p</t>
  </si>
  <si>
    <t>13:00</t>
  </si>
  <si>
    <t>09:00</t>
  </si>
  <si>
    <t>CÔNG TY TNHH PERFETTI VAN MELLE (VIỆT NAM)</t>
  </si>
  <si>
    <t>60p</t>
  </si>
  <si>
    <t>08:30</t>
  </si>
  <si>
    <t>180p</t>
  </si>
  <si>
    <t>10:00</t>
  </si>
  <si>
    <t>CÔNG TY TNHH PROCTER &amp; GAMBLE VIETNAM (DONG AN IP)</t>
  </si>
  <si>
    <t>CÔNG TY CP MONDELEZ KINH ĐÔ VIỆT NAM</t>
  </si>
  <si>
    <t>Thời gian (phút)</t>
  </si>
  <si>
    <t>Số tác vụ</t>
  </si>
  <si>
    <t>26/12/2020</t>
  </si>
  <si>
    <t>60-- Hợp Công ty</t>
  </si>
  <si>
    <t>Thời gian thực hiện</t>
  </si>
  <si>
    <t>25/12/2020</t>
  </si>
  <si>
    <t>60--Hỗ trợ sửa máy qua điện thoại</t>
  </si>
  <si>
    <t>CÔNG TY CP BỘT GIẶT NET</t>
  </si>
  <si>
    <t>60--Hỗ trợ sửa máy qua điện thoại.</t>
  </si>
  <si>
    <t>CONG TY TNHH URC VIET NAM (THUẬN AN- BÌNH DƯƠNG)</t>
  </si>
  <si>
    <t>15:00</t>
  </si>
  <si>
    <t>CÔNG TY CP XNK NGUYÊN HẬU</t>
  </si>
  <si>
    <t>120- Họp cty.</t>
  </si>
  <si>
    <t>28/12/2020</t>
  </si>
  <si>
    <t>300- Mua vật tư và đặt gia công cơ khí gá máy in x45i cho cty Cao Su Đồng Nai và gá máy in 8018c demo cho cty Hữu Nghị.</t>
  </si>
  <si>
    <t>300p</t>
  </si>
  <si>
    <t>16:00</t>
  </si>
  <si>
    <t>30-- In mẫu test mực cho cty mỳ Nissin.</t>
  </si>
  <si>
    <t>30p</t>
  </si>
  <si>
    <t>29/12/2020</t>
  </si>
  <si>
    <t>09:30</t>
  </si>
  <si>
    <t>300- Học an toàn nhà máy</t>
  </si>
  <si>
    <t>30/12/2020</t>
  </si>
  <si>
    <t>CÔNG TY CP HÓA - DƯỢC PHẨM MEKOPHAR</t>
  </si>
  <si>
    <t>15-- Giao đầu in 8018</t>
  </si>
  <si>
    <t>60-- In mẫu cty Nissin cho Tú trên máy 8018 và chuẩn bị 1 máy in 8018c.</t>
  </si>
  <si>
    <t>P</t>
  </si>
  <si>
    <t>P--- Nghỉ phép.</t>
  </si>
  <si>
    <t>Nghỉ phép.</t>
  </si>
  <si>
    <t>Phép</t>
  </si>
  <si>
    <t>CÔNG TY TNHH USG BORAL GYPSUM VIỆT NAM</t>
  </si>
  <si>
    <t>180- Giao hàng cho công ty Boral - Hiệp Phước.</t>
  </si>
  <si>
    <t>300- Giao đầu Co2 máy Laser C350 cho công ty P&amp;G - Đồng An.</t>
  </si>
  <si>
    <t>300ph.</t>
  </si>
  <si>
    <t>15:30</t>
  </si>
  <si>
    <t>CÔNG TY TNHH CHENG LOONG BÌNH DƯƠNG PAPER</t>
  </si>
  <si>
    <t>240- Giao đầu in 4020-16dot cho công ty giấy Cheng Loong - Bình Dương.</t>
  </si>
  <si>
    <t>240ph.</t>
  </si>
  <si>
    <t>CÔNG TY TNHH MTV TỔNG CÔNG TY CAO SU ĐỒNG NAI</t>
  </si>
  <si>
    <t>540- Làm case với Tùng, chở máy đã sửa xong trả cho Caosu Đồng Nai, lắp đặt lên dây chuyền.</t>
  </si>
  <si>
    <t>540p.</t>
  </si>
  <si>
    <t>31/12/2020</t>
  </si>
  <si>
    <t>CÔNG TY TNHH BLUESCOPE BUILDINGS VIỆT NAM - ĐỒNG NAI</t>
  </si>
  <si>
    <t>180- Chở máy 9028 cho mượn đem về từ Blue Scope - BIên Hòa</t>
  </si>
  <si>
    <t>CÔNG TY CP BỘT GIẶT LIX - THỦ ĐỨC</t>
  </si>
  <si>
    <t>120-- Ghé công ty Lix Thủ Đức lấy mẫu bao bì về.</t>
  </si>
  <si>
    <t>120p.</t>
  </si>
  <si>
    <t>Máy test mực bị lỗi bơm hút về</t>
  </si>
  <si>
    <t>Kiểm tra bơm hút về máy test mực tại công ty Hợp Triển. Vệ sinh bơm hút về và canon. Khởi động máy in. Kiểm tra tia mực và tách hạt mực. Kết quả: máy in đã hoạt động trở lại bình thường.</t>
  </si>
  <si>
    <t>Máy in báo lỗi 86 khi gắn cảm biến vào máy</t>
  </si>
  <si>
    <t>Kiểm tra máy in. Thay cảm biến máy in. Khởi động máy in. Kiểm tra máy. Máy in hoạt động bình thường và đưa vào sản xuất.</t>
  </si>
  <si>
    <t>Máy in 9410 báo tham chiếu phát hiện hợp mực sai - Bảo trì máy in nhà máy</t>
  </si>
  <si>
    <t>Kiểm tra bình mực. Chip mực nhận sai bình mực. Thay chip bình mực khác. Kiểm tra thông số các máy in còn lại. Tất cả máy in đều hoạt động bình thường.</t>
  </si>
  <si>
    <t>CÔNG TY TNHH I.B.O INTERNATIONAL (VIỆT NAM)</t>
  </si>
  <si>
    <t>Máy in 9028 chết đèn màn hình</t>
  </si>
  <si>
    <t>Bật nguồn máy in. Kiểm tra đèn màn hình máy in. Đèn màn hình chết. Cho nhà máy mượn màn hình để chạy sản xuất. Mang màn hình nhà máy về cty Hợp Triển sửa và gắn lại sau. Sau khi thay đèn màn hình. Màn hình sáng máy in hoạt động bình thường.</t>
  </si>
  <si>
    <t>CÔNG TY CP BẢO VỆ THỰC VẬT SÀI GÒN</t>
  </si>
  <si>
    <t>máy 9020 bị nghẹt mực, không khởi động được.</t>
  </si>
  <si>
    <t>Thông van U5, thông đường hút về, chỉnh lại tia mực, chỉnh lại tách hạt, xả bỏ mực loãng. Máy chạy lại OK.</t>
  </si>
  <si>
    <t>CÔNG TY TNHH THỰC PHẨM ORION VINA , NM BÌNH DƯƠNG</t>
  </si>
  <si>
    <t>01 máy 8018c không in, không báo lỗi. Và 01 in 8018c sàng mực in vào trong.</t>
  </si>
  <si>
    <t>Sửa chữa. Chỉnh lại đầu in ngang đỉnh rulo cao su và gắn lại relay báo lỗi.</t>
  </si>
  <si>
    <t>Case</t>
  </si>
  <si>
    <t>x</t>
  </si>
  <si>
    <t>TG thực hiện/ tuần (Giờ)</t>
  </si>
  <si>
    <t>2 ngày</t>
  </si>
  <si>
    <t>Cty abc</t>
  </si>
  <si>
    <t>Nguyễn Anh Minh</t>
  </si>
  <si>
    <t>Đỗ Duy Trường</t>
  </si>
  <si>
    <t>Phạm Nguyên Duy</t>
  </si>
  <si>
    <t>anhminh</t>
  </si>
  <si>
    <t>Không tạo việc trên hệ thống</t>
  </si>
  <si>
    <t>Sales_HCM</t>
  </si>
  <si>
    <t>Phep</t>
  </si>
  <si>
    <t>Ngoaigio</t>
  </si>
  <si>
    <t>KT_HCM</t>
  </si>
  <si>
    <t>nguyenduy</t>
  </si>
  <si>
    <t>Sales_Hanoi</t>
  </si>
  <si>
    <t>duytruong</t>
  </si>
  <si>
    <t>truongdo</t>
  </si>
  <si>
    <t>truongduy</t>
  </si>
  <si>
    <t>minhnguyen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</si>
</sst>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8" x14ac:knownFonts="1">
    <font>
      <sz val="10"/>
      <color rgb="FF000000"/>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name val="Arial"/>
      <family val="2"/>
    </font>
    <font>
      <sz val="10"/>
      <color rgb="FF000000"/>
      <name val="Arial"/>
      <family val="2"/>
    </font>
    <font>
      <b/>
      <sz val="11"/>
      <name val="Arial"/>
      <family val="2"/>
    </font>
    <font>
      <b/>
      <sz val="10"/>
      <color rgb="FF000000"/>
      <name val="Arial"/>
      <family val="2"/>
    </font>
    <font>
      <sz val="11"/>
      <color theme="1"/>
      <name val="Arial"/>
      <family val="2"/>
      <charset val="163"/>
    </font>
    <font>
      <sz val="11"/>
      <name val="Arial"/>
      <family val="2"/>
    </font>
    <font>
      <sz val="9"/>
      <name val="Arial"/>
      <family val="2"/>
    </font>
    <font>
      <b/>
      <sz val="9"/>
      <name val="Arial"/>
      <family val="2"/>
    </font>
    <font>
      <sz val="11"/>
      <color rgb="FF0070C0"/>
      <name val="Arial"/>
      <family val="2"/>
    </font>
    <font>
      <b/>
      <sz val="11"/>
      <color rgb="FFFF0000"/>
      <name val="Arial"/>
      <family val="2"/>
    </font>
    <font>
      <sz val="9"/>
      <color theme="0"/>
      <name val="Arial"/>
      <family val="2"/>
    </font>
    <font>
      <sz val="9"/>
      <color rgb="FF00B050"/>
      <name val="Arial"/>
      <family val="2"/>
    </font>
    <font>
      <b/>
      <sz val="9"/>
      <color rgb="FF0070C0"/>
      <name val="Arial"/>
      <family val="2"/>
    </font>
    <font>
      <sz val="10"/>
      <color rgb="FF00B050"/>
      <name val="Arial"/>
      <family val="2"/>
    </font>
    <font>
      <b/>
      <sz val="12"/>
      <name val="Arial"/>
      <family val="2"/>
    </font>
    <font>
      <b/>
      <sz val="11"/>
      <color rgb="FF00B050"/>
      <name val="Arial"/>
      <family val="2"/>
    </font>
    <font>
      <sz val="11"/>
      <color rgb="FFFF000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70C0"/>
        <bgColor indexed="64"/>
      </patternFill>
    </fill>
    <fill>
      <patternFill patternType="solid">
        <fgColor theme="9" tint="0.79998168889431442"/>
        <bgColor indexed="64"/>
      </patternFill>
    </fill>
    <fill>
      <patternFill patternType="solid">
        <fgColor rgb="FFFFCC00"/>
        <bgColor indexed="64"/>
      </patternFill>
    </fill>
    <fill>
      <patternFill patternType="solid">
        <fgColor theme="7" tint="0.39997558519241921"/>
        <bgColor indexed="64"/>
      </patternFill>
    </fill>
    <fill>
      <patternFill patternType="solid">
        <fgColor theme="7"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CCCCCC"/>
      </left>
      <right style="thin">
        <color rgb="FFCCCCCC"/>
      </right>
      <top style="thin">
        <color rgb="FFCCCCCC"/>
      </top>
      <bottom style="thin">
        <color rgb="FFCCCCCC"/>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medium">
        <color theme="4"/>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s>
  <cellStyleXfs count="153">
    <xf numFmtId="0" fontId="0" fillId="0" borderId="0"/>
    <xf numFmtId="0" fontId="45" fillId="0" borderId="0" applyNumberFormat="0" applyFill="0" applyBorder="0" applyAlignment="0" applyProtection="0"/>
    <xf numFmtId="0" fontId="46" fillId="0" borderId="1" applyNumberFormat="0" applyFill="0" applyAlignment="0" applyProtection="0"/>
    <xf numFmtId="0" fontId="47" fillId="0" borderId="2" applyNumberFormat="0" applyFill="0" applyAlignment="0" applyProtection="0"/>
    <xf numFmtId="0" fontId="48" fillId="0" borderId="3" applyNumberFormat="0" applyFill="0" applyAlignment="0" applyProtection="0"/>
    <xf numFmtId="0" fontId="48" fillId="0" borderId="0" applyNumberFormat="0" applyFill="0" applyBorder="0" applyAlignment="0" applyProtection="0"/>
    <xf numFmtId="0" fontId="49" fillId="2" borderId="0" applyNumberFormat="0" applyBorder="0" applyAlignment="0" applyProtection="0"/>
    <xf numFmtId="0" fontId="50" fillId="3" borderId="0" applyNumberFormat="0" applyBorder="0" applyAlignment="0" applyProtection="0"/>
    <xf numFmtId="0" fontId="51" fillId="4" borderId="0" applyNumberFormat="0" applyBorder="0" applyAlignment="0" applyProtection="0"/>
    <xf numFmtId="0" fontId="52" fillId="5" borderId="4" applyNumberFormat="0" applyAlignment="0" applyProtection="0"/>
    <xf numFmtId="0" fontId="53" fillId="6" borderId="5" applyNumberFormat="0" applyAlignment="0" applyProtection="0"/>
    <xf numFmtId="0" fontId="54" fillId="6" borderId="4" applyNumberFormat="0" applyAlignment="0" applyProtection="0"/>
    <xf numFmtId="0" fontId="55" fillId="0" borderId="6" applyNumberFormat="0" applyFill="0" applyAlignment="0" applyProtection="0"/>
    <xf numFmtId="0" fontId="56" fillId="7" borderId="7" applyNumberFormat="0" applyAlignment="0" applyProtection="0"/>
    <xf numFmtId="0" fontId="57" fillId="0" borderId="0" applyNumberFormat="0" applyFill="0" applyBorder="0" applyAlignment="0" applyProtection="0"/>
    <xf numFmtId="0" fontId="44" fillId="8" borderId="8" applyNumberFormat="0" applyFont="0" applyAlignment="0" applyProtection="0"/>
    <xf numFmtId="0" fontId="58" fillId="0" borderId="0" applyNumberFormat="0" applyFill="0" applyBorder="0" applyAlignment="0" applyProtection="0"/>
    <xf numFmtId="0" fontId="59" fillId="0" borderId="9" applyNumberFormat="0" applyFill="0" applyAlignment="0" applyProtection="0"/>
    <xf numFmtId="0" fontId="60"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60"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60" fillId="17" borderId="0" applyNumberFormat="0" applyBorder="0" applyAlignment="0" applyProtection="0"/>
    <xf numFmtId="0" fontId="44"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60" fillId="21"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60" fillId="25"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60"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65" fillId="0" borderId="0"/>
    <xf numFmtId="0" fontId="62"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2" fillId="0" borderId="0"/>
    <xf numFmtId="0" fontId="31"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7"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20"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cellStyleXfs>
  <cellXfs count="46">
    <xf numFmtId="0" fontId="61" fillId="0" borderId="0" xfId="0" applyFont="1"/>
    <xf numFmtId="0" fontId="66" fillId="33" borderId="10" xfId="0" applyFont="1" applyFill="1" applyBorder="1" applyAlignment="1">
      <alignment horizontal="center" vertical="center" wrapText="1"/>
    </xf>
    <xf numFmtId="0" fontId="68" fillId="0" borderId="11" xfId="0" applyFont="1" applyBorder="1" applyAlignment="1">
      <alignment horizontal="center" vertical="center" wrapText="1"/>
    </xf>
    <xf numFmtId="0" fontId="68" fillId="0" borderId="11" xfId="0" applyFont="1" applyBorder="1" applyAlignment="1">
      <alignment vertical="center" wrapText="1"/>
    </xf>
    <xf numFmtId="0" fontId="67" fillId="33" borderId="12" xfId="0" applyFont="1" applyFill="1" applyBorder="1" applyAlignment="1">
      <alignment horizontal="center" vertical="center" wrapText="1"/>
    </xf>
    <xf numFmtId="0" fontId="69" fillId="33" borderId="12" xfId="0" applyFont="1" applyFill="1" applyBorder="1" applyAlignment="1">
      <alignment horizontal="center" vertical="center" wrapText="1"/>
    </xf>
    <xf numFmtId="0" fontId="70" fillId="33" borderId="12" xfId="0" applyFont="1" applyFill="1" applyBorder="1" applyAlignment="1">
      <alignment horizontal="center" vertical="center" wrapText="1"/>
    </xf>
    <xf numFmtId="0" fontId="63" fillId="33" borderId="12" xfId="0" applyFont="1" applyFill="1" applyBorder="1" applyAlignment="1">
      <alignment horizontal="left" vertical="center" wrapText="1"/>
    </xf>
    <xf numFmtId="0" fontId="68" fillId="33" borderId="11" xfId="0" applyFont="1" applyFill="1" applyBorder="1" applyAlignment="1">
      <alignment horizontal="center" vertical="center" wrapText="1"/>
    </xf>
    <xf numFmtId="0" fontId="67" fillId="35" borderId="12" xfId="0" applyFont="1" applyFill="1" applyBorder="1" applyAlignment="1">
      <alignment horizontal="center" vertical="center" wrapText="1"/>
    </xf>
    <xf numFmtId="0" fontId="71" fillId="34" borderId="12" xfId="0" applyFont="1" applyFill="1" applyBorder="1" applyAlignment="1">
      <alignment horizontal="center" vertical="center" wrapText="1"/>
    </xf>
    <xf numFmtId="0" fontId="63" fillId="0" borderId="12" xfId="0" applyFont="1" applyBorder="1" applyAlignment="1">
      <alignment horizontal="left" vertical="center" wrapText="1"/>
    </xf>
    <xf numFmtId="0" fontId="64" fillId="36" borderId="12" xfId="0" applyFont="1" applyFill="1" applyBorder="1" applyAlignment="1">
      <alignment horizontal="center" vertical="center" wrapText="1"/>
    </xf>
    <xf numFmtId="0" fontId="61" fillId="0" borderId="12" xfId="0" applyFont="1" applyBorder="1" applyAlignment="1">
      <alignment horizontal="center" vertical="center" wrapText="1"/>
    </xf>
    <xf numFmtId="0" fontId="61" fillId="0" borderId="12" xfId="0" applyFont="1" applyBorder="1" applyAlignment="1">
      <alignment vertical="center" wrapText="1"/>
    </xf>
    <xf numFmtId="0" fontId="63" fillId="37" borderId="12" xfId="0" applyFont="1" applyFill="1" applyBorder="1" applyAlignment="1">
      <alignment horizontal="left" vertical="center" wrapText="1"/>
    </xf>
    <xf numFmtId="0" fontId="70" fillId="37" borderId="12" xfId="0" applyFont="1" applyFill="1" applyBorder="1" applyAlignment="1">
      <alignment horizontal="center" vertical="center" wrapText="1"/>
    </xf>
    <xf numFmtId="0" fontId="73" fillId="37" borderId="12" xfId="0" applyFont="1" applyFill="1" applyBorder="1" applyAlignment="1">
      <alignment horizontal="center" vertical="center" wrapText="1"/>
    </xf>
    <xf numFmtId="0" fontId="61" fillId="33" borderId="12" xfId="0" applyFont="1" applyFill="1" applyBorder="1" applyAlignment="1">
      <alignment horizontal="right" vertical="center" wrapText="1"/>
    </xf>
    <xf numFmtId="0" fontId="73" fillId="33" borderId="12" xfId="0" applyFont="1" applyFill="1" applyBorder="1" applyAlignment="1">
      <alignment horizontal="center" vertical="center" wrapText="1"/>
    </xf>
    <xf numFmtId="3" fontId="74" fillId="33" borderId="12" xfId="147" applyNumberFormat="1" applyFont="1" applyFill="1" applyBorder="1" applyAlignment="1">
      <alignment horizontal="center" vertical="center" wrapText="1"/>
    </xf>
    <xf numFmtId="0" fontId="2" fillId="0" borderId="12" xfId="148" applyBorder="1" applyAlignment="1">
      <alignment vertical="center" wrapText="1"/>
    </xf>
    <xf numFmtId="22" fontId="2" fillId="0" borderId="12" xfId="148" applyNumberFormat="1" applyBorder="1" applyAlignment="1">
      <alignment vertical="center" wrapText="1"/>
    </xf>
    <xf numFmtId="0" fontId="67" fillId="33" borderId="12" xfId="0" applyFont="1" applyFill="1" applyBorder="1" applyAlignment="1">
      <alignment horizontal="right" vertical="center" wrapText="1"/>
    </xf>
    <xf numFmtId="0" fontId="2" fillId="33" borderId="12" xfId="149" applyFill="1" applyBorder="1" applyAlignment="1">
      <alignment horizontal="center" vertical="center" wrapText="1"/>
    </xf>
    <xf numFmtId="0" fontId="72" fillId="38" borderId="12" xfId="0" applyFont="1" applyFill="1" applyBorder="1" applyAlignment="1">
      <alignment horizontal="center" vertical="center" wrapText="1"/>
    </xf>
    <xf numFmtId="0" fontId="68" fillId="37" borderId="11" xfId="0" applyFont="1" applyFill="1" applyBorder="1" applyAlignment="1">
      <alignment horizontal="center" vertical="center" wrapText="1"/>
    </xf>
    <xf numFmtId="0" fontId="67" fillId="0" borderId="11" xfId="0" applyFont="1" applyBorder="1" applyAlignment="1">
      <alignment vertical="center" wrapText="1"/>
    </xf>
    <xf numFmtId="0" fontId="75" fillId="0" borderId="11" xfId="0" applyFont="1" applyBorder="1" applyAlignment="1">
      <alignment horizontal="center" vertical="center" wrapText="1"/>
    </xf>
    <xf numFmtId="0" fontId="76" fillId="33" borderId="12" xfId="0" applyFont="1" applyFill="1" applyBorder="1" applyAlignment="1">
      <alignment horizontal="center" vertical="center" wrapText="1"/>
    </xf>
    <xf numFmtId="0" fontId="1" fillId="0" borderId="12" xfId="148" applyFont="1" applyBorder="1" applyAlignment="1">
      <alignment vertical="center" wrapText="1"/>
    </xf>
    <xf numFmtId="0" fontId="77" fillId="0" borderId="12" xfId="0" applyFont="1" applyBorder="1" applyAlignment="1">
      <alignment horizontal="left" vertical="center" wrapText="1"/>
    </xf>
    <xf numFmtId="0" fontId="66" fillId="0" borderId="12" xfId="0" applyFont="1" applyBorder="1" applyAlignment="1">
      <alignment horizontal="left" vertical="center" wrapText="1"/>
    </xf>
    <xf numFmtId="0" fontId="1" fillId="33" borderId="12" xfId="149" applyFont="1" applyFill="1" applyBorder="1" applyAlignment="1">
      <alignment horizontal="center" vertical="center" wrapText="1"/>
    </xf>
    <xf numFmtId="0" fontId="66" fillId="33" borderId="0" xfId="0" applyFont="1" applyFill="1" applyAlignment="1">
      <alignment horizontal="center" vertical="center" wrapText="1"/>
    </xf>
    <xf numFmtId="3" fontId="74" fillId="33" borderId="12" xfId="150" applyNumberFormat="1" applyFont="1" applyFill="1" applyBorder="1" applyAlignment="1">
      <alignment horizontal="center" vertical="center" wrapText="1"/>
    </xf>
    <xf numFmtId="0" fontId="1" fillId="0" borderId="12" xfId="151" applyBorder="1" applyAlignment="1">
      <alignment vertical="center" wrapText="1"/>
    </xf>
    <xf numFmtId="22" fontId="1" fillId="0" borderId="12" xfId="151" applyNumberFormat="1" applyBorder="1" applyAlignment="1">
      <alignment vertical="center" wrapText="1"/>
    </xf>
    <xf numFmtId="0" fontId="1" fillId="0" borderId="12" xfId="151" applyFont="1" applyBorder="1" applyAlignment="1">
      <alignment vertical="center" wrapText="1"/>
    </xf>
    <xf numFmtId="0" fontId="1" fillId="33" borderId="12" xfId="152" applyFill="1" applyBorder="1" applyAlignment="1">
      <alignment horizontal="center" vertical="center" wrapText="1"/>
    </xf>
    <xf numFmtId="0" fontId="68" fillId="0" borderId="18" xfId="0" applyFont="1" applyBorder="1" applyAlignment="1">
      <alignment horizontal="center" vertical="center" wrapText="1"/>
    </xf>
    <xf numFmtId="0" fontId="68" fillId="0" borderId="13" xfId="0" applyFont="1" applyBorder="1" applyAlignment="1">
      <alignment horizontal="center" vertical="center" wrapText="1"/>
    </xf>
    <xf numFmtId="0" fontId="68" fillId="0" borderId="14" xfId="0" applyFont="1" applyBorder="1" applyAlignment="1">
      <alignment horizontal="center" vertical="center" wrapText="1"/>
    </xf>
    <xf numFmtId="0" fontId="68" fillId="0" borderId="15" xfId="0" applyFont="1" applyBorder="1" applyAlignment="1">
      <alignment horizontal="center" vertical="center" wrapText="1"/>
    </xf>
    <xf numFmtId="0" fontId="68" fillId="0" borderId="16" xfId="0" applyFont="1" applyBorder="1" applyAlignment="1">
      <alignment horizontal="center" vertical="center" wrapText="1"/>
    </xf>
    <xf numFmtId="0" fontId="68" fillId="0" borderId="17" xfId="0" applyFont="1" applyBorder="1" applyAlignment="1">
      <alignment horizontal="center" vertical="center" wrapText="1"/>
    </xf>
  </cellXfs>
  <cellStyles count="15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ình thường 10" xfId="53"/>
    <cellStyle name="Bình thường 10 2" xfId="54"/>
    <cellStyle name="Bình thường 11" xfId="55"/>
    <cellStyle name="Bình thường 12" xfId="57"/>
    <cellStyle name="Bình thường 12 2" xfId="59"/>
    <cellStyle name="Bình thường 12 2 10" xfId="91"/>
    <cellStyle name="Bình thường 12 2 11" xfId="97"/>
    <cellStyle name="Bình thường 12 2 12" xfId="99"/>
    <cellStyle name="Bình thường 12 2 13" xfId="103"/>
    <cellStyle name="Bình thường 12 2 14" xfId="105"/>
    <cellStyle name="Bình thường 12 2 15" xfId="109"/>
    <cellStyle name="Bình thường 12 2 16" xfId="112"/>
    <cellStyle name="Bình thường 12 2 17" xfId="114"/>
    <cellStyle name="Bình thường 12 2 18" xfId="118"/>
    <cellStyle name="Bình thường 12 2 19" xfId="120"/>
    <cellStyle name="Bình thường 12 2 2" xfId="62"/>
    <cellStyle name="Bình thường 12 2 20" xfId="125"/>
    <cellStyle name="Bình thường 12 2 21" xfId="128"/>
    <cellStyle name="Bình thường 12 2 22" xfId="131"/>
    <cellStyle name="Bình thường 12 2 23" xfId="134"/>
    <cellStyle name="Bình thường 12 2 24" xfId="138"/>
    <cellStyle name="Bình thường 12 2 25" xfId="140"/>
    <cellStyle name="Bình thường 12 2 26" xfId="145"/>
    <cellStyle name="Bình thường 12 2 27" xfId="149"/>
    <cellStyle name="Bình thường 12 2 27 2" xfId="152"/>
    <cellStyle name="Bình thường 12 2 3" xfId="65"/>
    <cellStyle name="Bình thường 12 2 4" xfId="68"/>
    <cellStyle name="Bình thường 12 2 4 2" xfId="72"/>
    <cellStyle name="Bình thường 12 2 5" xfId="75"/>
    <cellStyle name="Bình thường 12 2 5 2" xfId="76"/>
    <cellStyle name="Bình thường 12 2 6" xfId="80"/>
    <cellStyle name="Bình thường 12 2 7" xfId="83"/>
    <cellStyle name="Bình thường 12 2 8" xfId="85"/>
    <cellStyle name="Bình thường 12 2 9" xfId="88"/>
    <cellStyle name="Bình thường 12 3" xfId="143"/>
    <cellStyle name="Bình thường 12 4" xfId="147"/>
    <cellStyle name="Bình thường 12 4 2" xfId="150"/>
    <cellStyle name="Bình thường 13" xfId="60"/>
    <cellStyle name="Bình thường 14" xfId="63"/>
    <cellStyle name="Bình thường 15" xfId="56"/>
    <cellStyle name="Bình thường 15 10" xfId="87"/>
    <cellStyle name="Bình thường 15 11" xfId="90"/>
    <cellStyle name="Bình thường 15 12" xfId="93"/>
    <cellStyle name="Bình thường 15 13" xfId="95"/>
    <cellStyle name="Bình thường 15 14" xfId="98"/>
    <cellStyle name="Bình thường 15 15" xfId="101"/>
    <cellStyle name="Bình thường 15 16" xfId="104"/>
    <cellStyle name="Bình thường 15 17" xfId="107"/>
    <cellStyle name="Bình thường 15 18" xfId="110"/>
    <cellStyle name="Bình thường 15 19" xfId="113"/>
    <cellStyle name="Bình thường 15 2" xfId="58"/>
    <cellStyle name="Bình thường 15 20" xfId="116"/>
    <cellStyle name="Bình thường 15 21" xfId="119"/>
    <cellStyle name="Bình thường 15 22" xfId="122"/>
    <cellStyle name="Bình thường 15 23" xfId="124"/>
    <cellStyle name="Bình thường 15 24" xfId="127"/>
    <cellStyle name="Bình thường 15 25" xfId="130"/>
    <cellStyle name="Bình thường 15 26" xfId="133"/>
    <cellStyle name="Bình thường 15 27" xfId="136"/>
    <cellStyle name="Bình thường 15 28" xfId="139"/>
    <cellStyle name="Bình thường 15 29" xfId="142"/>
    <cellStyle name="Bình thường 15 3" xfId="61"/>
    <cellStyle name="Bình thường 15 30" xfId="146"/>
    <cellStyle name="Bình thường 15 4" xfId="64"/>
    <cellStyle name="Bình thường 15 5" xfId="67"/>
    <cellStyle name="Bình thường 15 5 2" xfId="70"/>
    <cellStyle name="Bình thường 15 6" xfId="73"/>
    <cellStyle name="Bình thường 15 7" xfId="78"/>
    <cellStyle name="Bình thường 15 8" xfId="79"/>
    <cellStyle name="Bình thường 15 9" xfId="82"/>
    <cellStyle name="Bình thường 16" xfId="66"/>
    <cellStyle name="Bình thường 17" xfId="69"/>
    <cellStyle name="Bình thường 17 2" xfId="71"/>
    <cellStyle name="Bình thường 18" xfId="74"/>
    <cellStyle name="Bình thường 19" xfId="77"/>
    <cellStyle name="Bình thường 2" xfId="42"/>
    <cellStyle name="Bình thường 20" xfId="81"/>
    <cellStyle name="Bình thường 21" xfId="84"/>
    <cellStyle name="Bình thường 22" xfId="86"/>
    <cellStyle name="Bình thường 23" xfId="89"/>
    <cellStyle name="Bình thường 24" xfId="92"/>
    <cellStyle name="Bình thường 25" xfId="94"/>
    <cellStyle name="Bình thường 26" xfId="96"/>
    <cellStyle name="Bình thường 27" xfId="100"/>
    <cellStyle name="Bình thường 28" xfId="102"/>
    <cellStyle name="Bình thường 29" xfId="106"/>
    <cellStyle name="Bình thường 3" xfId="43"/>
    <cellStyle name="Bình thường 30" xfId="108"/>
    <cellStyle name="Bình thường 31" xfId="111"/>
    <cellStyle name="Bình thường 32" xfId="115"/>
    <cellStyle name="Bình thường 33" xfId="117"/>
    <cellStyle name="Bình thường 34" xfId="121"/>
    <cellStyle name="Bình thường 35" xfId="123"/>
    <cellStyle name="Bình thường 36" xfId="126"/>
    <cellStyle name="Bình thường 37" xfId="129"/>
    <cellStyle name="Bình thường 38" xfId="132"/>
    <cellStyle name="Bình thường 39" xfId="135"/>
    <cellStyle name="Bình thường 4" xfId="44"/>
    <cellStyle name="Bình thường 4 2" xfId="45"/>
    <cellStyle name="Bình thường 4 2 2" xfId="46"/>
    <cellStyle name="Bình thường 4 2 2 2" xfId="47"/>
    <cellStyle name="Bình thường 40" xfId="137"/>
    <cellStyle name="Bình thường 41" xfId="141"/>
    <cellStyle name="Bình thường 42" xfId="144"/>
    <cellStyle name="Bình thường 42 2" xfId="148"/>
    <cellStyle name="Bình thường 42 2 2" xfId="151"/>
    <cellStyle name="Bình thường 6" xfId="48"/>
    <cellStyle name="Bình thường 7" xfId="49"/>
    <cellStyle name="Bình thường 8" xfId="50"/>
    <cellStyle name="Bình thường 8 2" xfId="51"/>
    <cellStyle name="Bình thường 9" xfId="52"/>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colors>
    <mruColors>
      <color rgb="FFF6F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K18"/>
  <sheetViews>
    <sheetView workbookViewId="0">
      <selection activeCell="H11" sqref="H11"/>
    </sheetView>
  </sheetViews>
  <sheetFormatPr defaultColWidth="8.88671875" defaultRowHeight="25.05" customHeight="1" x14ac:dyDescent="0.25"/>
  <cols>
    <col min="1" max="1" width="5.21875" style="2" customWidth="1"/>
    <col min="2" max="2" width="27.5546875" style="3" customWidth="1"/>
    <col min="3" max="3" width="20.109375" style="8" customWidth="1"/>
    <col min="4" max="5" width="4.77734375" style="1" customWidth="1"/>
    <col min="6" max="6" width="4" style="1" customWidth="1"/>
    <col min="7" max="8" width="4.77734375" style="1" customWidth="1"/>
    <col min="9" max="9" width="4.77734375" style="34" customWidth="1"/>
    <col min="10" max="10" width="4.6640625" style="27" customWidth="1"/>
    <col min="11" max="11" width="21.88671875" style="28" customWidth="1"/>
    <col min="12" max="16384" width="8.88671875" style="27"/>
  </cols>
  <sheetData>
    <row r="1" spans="1:11" ht="17.399999999999999" customHeight="1" x14ac:dyDescent="0.25">
      <c r="A1" s="43">
        <v>1</v>
      </c>
      <c r="B1" s="15" t="s">
        <v>90</v>
      </c>
      <c r="C1" s="16"/>
      <c r="D1" s="10">
        <v>25</v>
      </c>
      <c r="E1" s="10">
        <v>26</v>
      </c>
      <c r="F1" s="10">
        <v>27</v>
      </c>
      <c r="G1" s="10">
        <v>28</v>
      </c>
      <c r="H1" s="10">
        <v>29</v>
      </c>
      <c r="I1" s="10">
        <v>30</v>
      </c>
      <c r="J1" s="10">
        <v>31</v>
      </c>
      <c r="K1" s="26" t="s">
        <v>85</v>
      </c>
    </row>
    <row r="2" spans="1:11" ht="25.05" customHeight="1" x14ac:dyDescent="0.25">
      <c r="A2" s="44"/>
      <c r="B2" s="18" t="s">
        <v>22</v>
      </c>
      <c r="C2" s="6">
        <f>SUM(D2:J2)</f>
        <v>5</v>
      </c>
      <c r="D2" s="4">
        <v>1</v>
      </c>
      <c r="E2" s="4">
        <v>1</v>
      </c>
      <c r="F2" s="9"/>
      <c r="G2" s="4">
        <v>1</v>
      </c>
      <c r="H2" s="4">
        <v>1</v>
      </c>
      <c r="I2" s="4">
        <v>1</v>
      </c>
      <c r="J2" s="4"/>
    </row>
    <row r="3" spans="1:11" ht="25.05" customHeight="1" x14ac:dyDescent="0.25">
      <c r="A3" s="44"/>
      <c r="B3" s="18" t="s">
        <v>25</v>
      </c>
      <c r="C3" s="6">
        <f>SUM(D3:J3)</f>
        <v>760.00000000000011</v>
      </c>
      <c r="D3" s="4">
        <v>120.00000000000006</v>
      </c>
      <c r="E3" s="4">
        <v>60</v>
      </c>
      <c r="F3" s="9"/>
      <c r="G3" s="4">
        <v>240.00000000000003</v>
      </c>
      <c r="H3" s="4">
        <v>240.00000000000003</v>
      </c>
      <c r="I3" s="4">
        <v>60.000000000000028</v>
      </c>
      <c r="J3" s="4">
        <v>40</v>
      </c>
      <c r="K3" s="28">
        <f>C3/60</f>
        <v>12.666666666666668</v>
      </c>
    </row>
    <row r="4" spans="1:11" ht="25.05" customHeight="1" x14ac:dyDescent="0.25">
      <c r="A4" s="44"/>
      <c r="B4" s="23" t="s">
        <v>92</v>
      </c>
      <c r="C4" s="5" t="str">
        <f>COUNTIF(D4:J4,"X")&amp;" ngày"</f>
        <v>1 ngày</v>
      </c>
      <c r="D4" s="4" t="s">
        <v>0</v>
      </c>
      <c r="E4" s="4" t="s">
        <v>0</v>
      </c>
      <c r="F4" s="9"/>
      <c r="G4" s="4" t="s">
        <v>0</v>
      </c>
      <c r="H4" s="4" t="s">
        <v>0</v>
      </c>
      <c r="I4" s="4" t="s">
        <v>0</v>
      </c>
      <c r="J4" s="4" t="s">
        <v>84</v>
      </c>
    </row>
    <row r="5" spans="1:11" ht="25.05" customHeight="1" x14ac:dyDescent="0.25">
      <c r="A5" s="44"/>
      <c r="B5" s="33" t="s">
        <v>94</v>
      </c>
      <c r="C5" s="6"/>
      <c r="D5" s="4"/>
      <c r="E5" s="4"/>
      <c r="F5" s="9"/>
      <c r="G5" s="4"/>
      <c r="H5" s="4"/>
      <c r="I5" s="4"/>
      <c r="J5" s="4"/>
    </row>
    <row r="6" spans="1:11" ht="25.05" customHeight="1" x14ac:dyDescent="0.25">
      <c r="A6" s="45"/>
      <c r="B6" s="33" t="s">
        <v>95</v>
      </c>
      <c r="C6" s="6"/>
      <c r="D6" s="4"/>
      <c r="E6" s="4"/>
      <c r="F6" s="9"/>
      <c r="G6" s="4"/>
      <c r="H6" s="4"/>
      <c r="I6" s="4"/>
      <c r="J6" s="4"/>
    </row>
    <row r="7" spans="1:11" ht="25.05" customHeight="1" x14ac:dyDescent="0.25">
      <c r="A7" s="40">
        <v>2</v>
      </c>
      <c r="B7" s="15" t="s">
        <v>89</v>
      </c>
      <c r="C7" s="16"/>
      <c r="D7" s="10">
        <v>25</v>
      </c>
      <c r="E7" s="10">
        <v>26</v>
      </c>
      <c r="F7" s="10">
        <v>27</v>
      </c>
      <c r="G7" s="10">
        <v>28</v>
      </c>
      <c r="H7" s="10">
        <v>29</v>
      </c>
      <c r="I7" s="10">
        <v>30</v>
      </c>
      <c r="J7" s="10">
        <v>31</v>
      </c>
      <c r="K7" s="26" t="s">
        <v>85</v>
      </c>
    </row>
    <row r="8" spans="1:11" ht="25.05" customHeight="1" x14ac:dyDescent="0.25">
      <c r="A8" s="41"/>
      <c r="B8" s="18" t="s">
        <v>22</v>
      </c>
      <c r="C8" s="6">
        <f>SUM(D8:J8)</f>
        <v>11</v>
      </c>
      <c r="D8" s="4">
        <v>4</v>
      </c>
      <c r="E8" s="4">
        <v>1</v>
      </c>
      <c r="F8" s="9"/>
      <c r="G8" s="4">
        <v>2</v>
      </c>
      <c r="H8" s="4">
        <v>1</v>
      </c>
      <c r="I8" s="4">
        <v>2</v>
      </c>
      <c r="J8" s="4">
        <v>1</v>
      </c>
    </row>
    <row r="9" spans="1:11" ht="25.05" customHeight="1" x14ac:dyDescent="0.25">
      <c r="A9" s="41"/>
      <c r="B9" s="18" t="s">
        <v>25</v>
      </c>
      <c r="C9" s="6">
        <f>SUM(D9:J9)</f>
        <v>1425</v>
      </c>
      <c r="D9" s="4">
        <v>240</v>
      </c>
      <c r="E9" s="4">
        <v>120</v>
      </c>
      <c r="F9" s="9"/>
      <c r="G9" s="4">
        <v>330</v>
      </c>
      <c r="H9" s="4">
        <v>300</v>
      </c>
      <c r="I9" s="4">
        <v>75</v>
      </c>
      <c r="J9" s="4">
        <v>359.99999999999994</v>
      </c>
      <c r="K9" s="28">
        <f>C9/60</f>
        <v>23.75</v>
      </c>
    </row>
    <row r="10" spans="1:11" ht="25.05" customHeight="1" x14ac:dyDescent="0.25">
      <c r="A10" s="41"/>
      <c r="B10" s="23" t="s">
        <v>92</v>
      </c>
      <c r="C10" s="6"/>
      <c r="D10" s="4"/>
      <c r="E10" s="4"/>
      <c r="F10" s="9"/>
      <c r="G10" s="4"/>
      <c r="H10" s="4"/>
      <c r="I10" s="4"/>
      <c r="J10" s="4"/>
    </row>
    <row r="11" spans="1:11" ht="25.05" customHeight="1" x14ac:dyDescent="0.25">
      <c r="A11" s="41"/>
      <c r="B11" s="33" t="s">
        <v>94</v>
      </c>
      <c r="C11" s="6"/>
      <c r="D11" s="4"/>
      <c r="E11" s="4"/>
      <c r="F11" s="9"/>
      <c r="G11" s="4"/>
      <c r="H11" s="4"/>
      <c r="I11" s="4"/>
      <c r="J11" s="4"/>
    </row>
    <row r="12" spans="1:11" ht="25.05" customHeight="1" x14ac:dyDescent="0.25">
      <c r="A12" s="42"/>
      <c r="B12" s="33" t="s">
        <v>95</v>
      </c>
      <c r="C12" s="6"/>
      <c r="D12" s="4"/>
      <c r="E12" s="4"/>
      <c r="F12" s="9"/>
      <c r="G12" s="4"/>
      <c r="H12" s="4"/>
      <c r="I12" s="4"/>
      <c r="J12" s="4"/>
    </row>
    <row r="13" spans="1:11" ht="25.05" customHeight="1" x14ac:dyDescent="0.25">
      <c r="A13" s="40">
        <v>3</v>
      </c>
      <c r="B13" s="15" t="s">
        <v>88</v>
      </c>
      <c r="C13" s="16"/>
      <c r="D13" s="10">
        <v>25</v>
      </c>
      <c r="E13" s="10">
        <v>26</v>
      </c>
      <c r="F13" s="10">
        <v>27</v>
      </c>
      <c r="G13" s="10">
        <v>28</v>
      </c>
      <c r="H13" s="10">
        <v>29</v>
      </c>
      <c r="I13" s="10">
        <v>30</v>
      </c>
      <c r="J13" s="10">
        <v>31</v>
      </c>
      <c r="K13" s="26" t="s">
        <v>85</v>
      </c>
    </row>
    <row r="14" spans="1:11" ht="25.05" customHeight="1" x14ac:dyDescent="0.25">
      <c r="A14" s="41"/>
      <c r="B14" s="18" t="s">
        <v>22</v>
      </c>
      <c r="C14" s="6">
        <f>SUM(D14:J14)</f>
        <v>7</v>
      </c>
      <c r="D14" s="25" t="s">
        <v>47</v>
      </c>
      <c r="E14" s="25" t="s">
        <v>47</v>
      </c>
      <c r="F14" s="9"/>
      <c r="G14" s="4">
        <v>2</v>
      </c>
      <c r="H14" s="4">
        <v>2</v>
      </c>
      <c r="I14" s="4">
        <v>1</v>
      </c>
      <c r="J14" s="4">
        <v>2</v>
      </c>
    </row>
    <row r="15" spans="1:11" ht="25.05" customHeight="1" x14ac:dyDescent="0.25">
      <c r="A15" s="41"/>
      <c r="B15" s="18" t="s">
        <v>25</v>
      </c>
      <c r="C15" s="6">
        <f>SUM(D15:J15)</f>
        <v>1650</v>
      </c>
      <c r="D15" s="25" t="s">
        <v>47</v>
      </c>
      <c r="E15" s="25" t="s">
        <v>47</v>
      </c>
      <c r="F15" s="9"/>
      <c r="G15" s="4">
        <v>270</v>
      </c>
      <c r="H15" s="4">
        <v>540</v>
      </c>
      <c r="I15" s="4">
        <v>540</v>
      </c>
      <c r="J15" s="4">
        <v>300</v>
      </c>
      <c r="K15" s="28">
        <f>C15/60</f>
        <v>27.5</v>
      </c>
    </row>
    <row r="16" spans="1:11" ht="25.05" customHeight="1" x14ac:dyDescent="0.25">
      <c r="A16" s="41"/>
      <c r="B16" s="18" t="s">
        <v>50</v>
      </c>
      <c r="C16" s="29" t="s">
        <v>86</v>
      </c>
      <c r="D16" s="25" t="s">
        <v>47</v>
      </c>
      <c r="E16" s="25" t="s">
        <v>47</v>
      </c>
      <c r="F16" s="9"/>
      <c r="G16" s="4"/>
      <c r="H16" s="4"/>
      <c r="I16" s="4"/>
      <c r="J16" s="4"/>
    </row>
    <row r="17" spans="1:10" ht="25.05" customHeight="1" x14ac:dyDescent="0.25">
      <c r="A17" s="41"/>
      <c r="B17" s="24" t="s">
        <v>0</v>
      </c>
      <c r="C17" s="6"/>
      <c r="D17" s="4"/>
      <c r="E17" s="4"/>
      <c r="F17" s="9"/>
      <c r="G17" s="4"/>
      <c r="H17" s="4"/>
      <c r="I17" s="4"/>
      <c r="J17" s="4"/>
    </row>
    <row r="18" spans="1:10" ht="25.05" customHeight="1" x14ac:dyDescent="0.25">
      <c r="A18" s="42"/>
      <c r="B18" s="7"/>
      <c r="C18" s="6"/>
      <c r="D18" s="4"/>
      <c r="E18" s="4"/>
      <c r="F18" s="9"/>
      <c r="G18" s="4"/>
      <c r="H18" s="4"/>
      <c r="I18" s="4"/>
      <c r="J18" s="4"/>
    </row>
  </sheetData>
  <mergeCells count="3">
    <mergeCell ref="A13:A18"/>
    <mergeCell ref="A1:A6"/>
    <mergeCell ref="A7:A12"/>
  </mergeCells>
  <conditionalFormatting sqref="B2:B1048576">
    <cfRule type="duplicateValues" dxfId="0" priority="2"/>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R62"/>
  <sheetViews>
    <sheetView showGridLines="0" tabSelected="1" workbookViewId="0">
      <selection activeCell="L11" sqref="L11"/>
    </sheetView>
  </sheetViews>
  <sheetFormatPr defaultRowHeight="19.95" customHeight="1" x14ac:dyDescent="0.25"/>
  <cols>
    <col min="1" max="1" width="14.109375" style="32" customWidth="1"/>
    <col min="2" max="2" width="12.44140625" style="31" customWidth="1"/>
    <col min="3" max="3" width="23.77734375" style="7" customWidth="1"/>
    <col min="4" max="4" width="21.44140625" style="6" customWidth="1"/>
    <col min="5" max="6" width="3.77734375" style="4" customWidth="1"/>
    <col min="7" max="7" width="3.6640625" style="9" customWidth="1"/>
    <col min="8" max="11" width="3.77734375" style="4" customWidth="1"/>
    <col min="12" max="12" width="9.5546875" style="19" customWidth="1"/>
    <col min="13" max="13" width="9" style="11" customWidth="1"/>
    <col min="14" max="14" width="14.44140625" style="11" bestFit="1" customWidth="1"/>
    <col min="15" max="15" width="15.109375" style="11" customWidth="1"/>
    <col min="16" max="16" width="35.5546875" style="11" bestFit="1" customWidth="1"/>
    <col min="17" max="17" width="48.77734375" style="11" customWidth="1"/>
    <col min="18" max="18" width="54.109375" style="11" customWidth="1"/>
    <col min="19" max="16384" width="8.88671875" style="11"/>
  </cols>
  <sheetData>
    <row r="1" spans="1:18" ht="19.95" customHeight="1" x14ac:dyDescent="0.25">
      <c r="A1" s="32" t="s">
        <v>96</v>
      </c>
      <c r="B1" s="31" t="s">
        <v>97</v>
      </c>
      <c r="C1" s="15" t="s">
        <v>90</v>
      </c>
      <c r="D1" s="16"/>
      <c r="E1" s="10">
        <v>25</v>
      </c>
      <c r="F1" s="10">
        <v>26</v>
      </c>
      <c r="G1" s="10">
        <v>27</v>
      </c>
      <c r="H1" s="10">
        <v>28</v>
      </c>
      <c r="I1" s="10">
        <v>29</v>
      </c>
      <c r="J1" s="10">
        <v>30</v>
      </c>
      <c r="K1" s="10">
        <v>31</v>
      </c>
      <c r="L1" s="17" t="s">
        <v>21</v>
      </c>
      <c r="M1" s="12" t="s">
        <v>83</v>
      </c>
      <c r="N1" s="12" t="s">
        <v>1</v>
      </c>
      <c r="O1" s="12" t="s">
        <v>2</v>
      </c>
      <c r="P1" s="12" t="s">
        <v>3</v>
      </c>
      <c r="Q1" s="12" t="s">
        <v>4</v>
      </c>
      <c r="R1" s="12" t="s">
        <v>5</v>
      </c>
    </row>
    <row r="2" spans="1:18" ht="19.95" customHeight="1" x14ac:dyDescent="0.25">
      <c r="C2" s="18" t="s">
        <v>22</v>
      </c>
      <c r="D2" s="6">
        <f>SUM(E2:K2)</f>
        <v>5</v>
      </c>
      <c r="E2" s="4">
        <v>1</v>
      </c>
      <c r="F2" s="4">
        <v>1</v>
      </c>
      <c r="H2" s="4">
        <v>1</v>
      </c>
      <c r="I2" s="4">
        <v>1</v>
      </c>
      <c r="J2" s="4">
        <v>1</v>
      </c>
      <c r="L2" s="35">
        <v>120.00000000000006</v>
      </c>
      <c r="M2" s="36">
        <v>202569</v>
      </c>
      <c r="N2" s="37">
        <v>44190.541666666664</v>
      </c>
      <c r="O2" s="37">
        <v>44190.625</v>
      </c>
      <c r="P2" s="38" t="s">
        <v>87</v>
      </c>
      <c r="Q2" s="36" t="s">
        <v>70</v>
      </c>
      <c r="R2" s="36" t="s">
        <v>71</v>
      </c>
    </row>
    <row r="3" spans="1:18" ht="19.95" customHeight="1" x14ac:dyDescent="0.25">
      <c r="C3" s="18" t="s">
        <v>25</v>
      </c>
      <c r="D3" s="6">
        <f>SUM(E3:K3)</f>
        <v>720.00000000000011</v>
      </c>
      <c r="E3" s="4">
        <v>120.00000000000006</v>
      </c>
      <c r="F3" s="4">
        <v>60</v>
      </c>
      <c r="H3" s="4">
        <v>240.00000000000003</v>
      </c>
      <c r="I3" s="4">
        <v>240.00000000000003</v>
      </c>
      <c r="J3" s="4">
        <v>60.000000000000028</v>
      </c>
      <c r="L3" s="19">
        <v>60</v>
      </c>
      <c r="M3" s="13"/>
      <c r="N3" s="13" t="s">
        <v>23</v>
      </c>
      <c r="O3" s="13" t="s">
        <v>6</v>
      </c>
      <c r="P3" s="14" t="s">
        <v>28</v>
      </c>
      <c r="Q3" s="14" t="s">
        <v>24</v>
      </c>
      <c r="R3" s="14" t="s">
        <v>8</v>
      </c>
    </row>
    <row r="4" spans="1:18" ht="19.95" customHeight="1" x14ac:dyDescent="0.25">
      <c r="C4" s="23" t="s">
        <v>92</v>
      </c>
      <c r="D4" s="5" t="str">
        <f>COUNTIF(E4:K4,"X")&amp;" ngày"</f>
        <v>1 ngày</v>
      </c>
      <c r="E4" s="4" t="s">
        <v>0</v>
      </c>
      <c r="F4" s="4" t="s">
        <v>0</v>
      </c>
      <c r="H4" s="4" t="s">
        <v>0</v>
      </c>
      <c r="I4" s="4" t="s">
        <v>0</v>
      </c>
      <c r="J4" s="4" t="s">
        <v>0</v>
      </c>
      <c r="K4" s="4" t="s">
        <v>84</v>
      </c>
      <c r="L4" s="35">
        <v>240.00000000000003</v>
      </c>
      <c r="M4" s="36">
        <v>202570</v>
      </c>
      <c r="N4" s="37">
        <v>44193.333333333336</v>
      </c>
      <c r="O4" s="37">
        <v>44193.5</v>
      </c>
      <c r="P4" s="36" t="s">
        <v>9</v>
      </c>
      <c r="Q4" s="36" t="s">
        <v>72</v>
      </c>
      <c r="R4" s="36" t="s">
        <v>73</v>
      </c>
    </row>
    <row r="5" spans="1:18" ht="19.95" customHeight="1" x14ac:dyDescent="0.25">
      <c r="C5" s="39" t="s">
        <v>0</v>
      </c>
      <c r="L5" s="35">
        <v>240.00000000000003</v>
      </c>
      <c r="M5" s="36">
        <v>202571</v>
      </c>
      <c r="N5" s="37">
        <v>44194.333333333336</v>
      </c>
      <c r="O5" s="37">
        <v>44194.5</v>
      </c>
      <c r="P5" s="36" t="s">
        <v>74</v>
      </c>
      <c r="Q5" s="36" t="s">
        <v>75</v>
      </c>
      <c r="R5" s="36" t="s">
        <v>76</v>
      </c>
    </row>
    <row r="6" spans="1:18" ht="19.95" customHeight="1" x14ac:dyDescent="0.25">
      <c r="C6" s="39" t="s">
        <v>0</v>
      </c>
      <c r="L6" s="35">
        <v>60.000000000000028</v>
      </c>
      <c r="M6" s="36">
        <v>202572</v>
      </c>
      <c r="N6" s="37">
        <v>44195.375</v>
      </c>
      <c r="O6" s="37">
        <v>44195.416666666664</v>
      </c>
      <c r="P6" s="36" t="s">
        <v>7</v>
      </c>
      <c r="Q6" s="36" t="s">
        <v>68</v>
      </c>
      <c r="R6" s="36" t="s">
        <v>69</v>
      </c>
    </row>
    <row r="7" spans="1:18" ht="19.95" customHeight="1" x14ac:dyDescent="0.25">
      <c r="A7" s="32" t="s">
        <v>98</v>
      </c>
      <c r="B7" s="31" t="s">
        <v>99</v>
      </c>
      <c r="C7" s="15" t="s">
        <v>89</v>
      </c>
      <c r="D7" s="16"/>
      <c r="E7" s="10">
        <v>25</v>
      </c>
      <c r="F7" s="10">
        <v>26</v>
      </c>
      <c r="G7" s="10">
        <v>27</v>
      </c>
      <c r="H7" s="10">
        <v>28</v>
      </c>
      <c r="I7" s="10">
        <v>29</v>
      </c>
      <c r="J7" s="10">
        <v>30</v>
      </c>
      <c r="K7" s="10">
        <v>31</v>
      </c>
      <c r="L7" s="17" t="s">
        <v>21</v>
      </c>
      <c r="M7" s="12" t="s">
        <v>83</v>
      </c>
      <c r="N7" s="12" t="s">
        <v>1</v>
      </c>
      <c r="O7" s="12" t="s">
        <v>2</v>
      </c>
      <c r="P7" s="12" t="s">
        <v>3</v>
      </c>
      <c r="Q7" s="12" t="s">
        <v>4</v>
      </c>
      <c r="R7" s="12" t="s">
        <v>5</v>
      </c>
    </row>
    <row r="8" spans="1:18" ht="19.95" customHeight="1" x14ac:dyDescent="0.25">
      <c r="C8" s="18" t="s">
        <v>22</v>
      </c>
      <c r="D8" s="6">
        <f>SUM(E8:K8)</f>
        <v>11</v>
      </c>
      <c r="E8" s="4">
        <v>4</v>
      </c>
      <c r="F8" s="4">
        <v>1</v>
      </c>
      <c r="H8" s="4">
        <v>2</v>
      </c>
      <c r="I8" s="4">
        <v>1</v>
      </c>
      <c r="J8" s="4">
        <v>2</v>
      </c>
      <c r="K8" s="4">
        <v>1</v>
      </c>
      <c r="L8" s="19">
        <v>60</v>
      </c>
      <c r="M8" s="13"/>
      <c r="N8" s="13" t="s">
        <v>26</v>
      </c>
      <c r="O8" s="13" t="s">
        <v>6</v>
      </c>
      <c r="P8" s="14" t="s">
        <v>14</v>
      </c>
      <c r="Q8" s="14" t="s">
        <v>27</v>
      </c>
      <c r="R8" s="14" t="s">
        <v>15</v>
      </c>
    </row>
    <row r="9" spans="1:18" ht="19.95" customHeight="1" x14ac:dyDescent="0.25">
      <c r="C9" s="18" t="s">
        <v>25</v>
      </c>
      <c r="D9" s="6">
        <f>SUM(E9:K9)</f>
        <v>1425</v>
      </c>
      <c r="E9" s="4">
        <v>240</v>
      </c>
      <c r="F9" s="4">
        <v>120</v>
      </c>
      <c r="H9" s="4">
        <v>330</v>
      </c>
      <c r="I9" s="4">
        <v>300</v>
      </c>
      <c r="J9" s="4">
        <v>75</v>
      </c>
      <c r="K9" s="4">
        <v>359.99999999999994</v>
      </c>
      <c r="L9" s="19">
        <v>60</v>
      </c>
      <c r="M9" s="13"/>
      <c r="N9" s="13" t="s">
        <v>26</v>
      </c>
      <c r="O9" s="13" t="s">
        <v>18</v>
      </c>
      <c r="P9" s="14" t="s">
        <v>28</v>
      </c>
      <c r="Q9" s="14" t="s">
        <v>29</v>
      </c>
      <c r="R9" s="14" t="s">
        <v>15</v>
      </c>
    </row>
    <row r="10" spans="1:18" ht="19.95" customHeight="1" x14ac:dyDescent="0.25">
      <c r="L10" s="19">
        <v>60</v>
      </c>
      <c r="M10" s="13"/>
      <c r="N10" s="13" t="s">
        <v>26</v>
      </c>
      <c r="O10" s="13" t="s">
        <v>12</v>
      </c>
      <c r="P10" s="14" t="s">
        <v>30</v>
      </c>
      <c r="Q10" s="14" t="s">
        <v>29</v>
      </c>
      <c r="R10" s="14" t="s">
        <v>15</v>
      </c>
    </row>
    <row r="11" spans="1:18" ht="19.95" customHeight="1" x14ac:dyDescent="0.25">
      <c r="L11" s="19">
        <v>60</v>
      </c>
      <c r="M11" s="13"/>
      <c r="N11" s="13" t="s">
        <v>26</v>
      </c>
      <c r="O11" s="13" t="s">
        <v>31</v>
      </c>
      <c r="P11" s="14" t="s">
        <v>32</v>
      </c>
      <c r="Q11" s="14" t="s">
        <v>29</v>
      </c>
      <c r="R11" s="14" t="s">
        <v>15</v>
      </c>
    </row>
    <row r="12" spans="1:18" ht="19.95" hidden="1" customHeight="1" x14ac:dyDescent="0.25">
      <c r="L12" s="19">
        <v>120</v>
      </c>
      <c r="M12" s="13"/>
      <c r="N12" s="13" t="s">
        <v>23</v>
      </c>
      <c r="O12" s="13" t="s">
        <v>6</v>
      </c>
      <c r="P12" s="14" t="s">
        <v>7</v>
      </c>
      <c r="Q12" s="14" t="s">
        <v>33</v>
      </c>
      <c r="R12" s="14" t="s">
        <v>11</v>
      </c>
    </row>
    <row r="13" spans="1:18" ht="19.95" hidden="1" customHeight="1" x14ac:dyDescent="0.25">
      <c r="L13" s="19">
        <v>300</v>
      </c>
      <c r="M13" s="13"/>
      <c r="N13" s="13" t="s">
        <v>34</v>
      </c>
      <c r="O13" s="13" t="s">
        <v>6</v>
      </c>
      <c r="P13" s="14" t="s">
        <v>7</v>
      </c>
      <c r="Q13" s="14" t="s">
        <v>35</v>
      </c>
      <c r="R13" s="14" t="s">
        <v>36</v>
      </c>
    </row>
    <row r="14" spans="1:18" ht="19.95" hidden="1" customHeight="1" x14ac:dyDescent="0.25">
      <c r="L14" s="19">
        <v>30</v>
      </c>
      <c r="M14" s="13"/>
      <c r="N14" s="13" t="s">
        <v>34</v>
      </c>
      <c r="O14" s="13" t="s">
        <v>37</v>
      </c>
      <c r="P14" s="14" t="s">
        <v>7</v>
      </c>
      <c r="Q14" s="14" t="s">
        <v>38</v>
      </c>
      <c r="R14" s="14" t="s">
        <v>39</v>
      </c>
    </row>
    <row r="15" spans="1:18" ht="19.95" hidden="1" customHeight="1" x14ac:dyDescent="0.25">
      <c r="L15" s="19">
        <v>300</v>
      </c>
      <c r="M15" s="13"/>
      <c r="N15" s="13" t="s">
        <v>40</v>
      </c>
      <c r="O15" s="13" t="s">
        <v>41</v>
      </c>
      <c r="P15" s="14" t="s">
        <v>20</v>
      </c>
      <c r="Q15" s="14" t="s">
        <v>42</v>
      </c>
      <c r="R15" s="14" t="s">
        <v>36</v>
      </c>
    </row>
    <row r="16" spans="1:18" ht="19.95" hidden="1" customHeight="1" x14ac:dyDescent="0.25">
      <c r="L16" s="19">
        <v>15</v>
      </c>
      <c r="M16" s="13"/>
      <c r="N16" s="13" t="s">
        <v>43</v>
      </c>
      <c r="O16" s="13" t="s">
        <v>13</v>
      </c>
      <c r="P16" s="14" t="s">
        <v>44</v>
      </c>
      <c r="Q16" s="14" t="s">
        <v>45</v>
      </c>
      <c r="R16" s="14" t="s">
        <v>15</v>
      </c>
    </row>
    <row r="17" spans="1:18" ht="19.95" hidden="1" customHeight="1" x14ac:dyDescent="0.25">
      <c r="L17" s="19">
        <v>60</v>
      </c>
      <c r="M17" s="13"/>
      <c r="N17" s="13" t="s">
        <v>43</v>
      </c>
      <c r="O17" s="13" t="s">
        <v>10</v>
      </c>
      <c r="P17" s="14" t="s">
        <v>7</v>
      </c>
      <c r="Q17" s="14" t="s">
        <v>46</v>
      </c>
      <c r="R17" s="14" t="s">
        <v>15</v>
      </c>
    </row>
    <row r="18" spans="1:18" ht="19.95" customHeight="1" x14ac:dyDescent="0.25">
      <c r="C18" s="39" t="s">
        <v>0</v>
      </c>
      <c r="L18" s="35">
        <v>359.99999999999994</v>
      </c>
      <c r="M18" s="36">
        <v>202582</v>
      </c>
      <c r="N18" s="37">
        <v>44196.416666666664</v>
      </c>
      <c r="O18" s="37">
        <v>44196.666666666664</v>
      </c>
      <c r="P18" s="36" t="s">
        <v>80</v>
      </c>
      <c r="Q18" s="36" t="s">
        <v>81</v>
      </c>
      <c r="R18" s="36" t="s">
        <v>82</v>
      </c>
    </row>
    <row r="19" spans="1:18" ht="19.95" customHeight="1" x14ac:dyDescent="0.25">
      <c r="A19" s="32" t="s">
        <v>93</v>
      </c>
      <c r="B19" s="31" t="s">
        <v>91</v>
      </c>
      <c r="C19" s="15" t="s">
        <v>88</v>
      </c>
      <c r="D19" s="16"/>
      <c r="E19" s="10">
        <v>25</v>
      </c>
      <c r="F19" s="10">
        <v>26</v>
      </c>
      <c r="G19" s="10">
        <v>27</v>
      </c>
      <c r="H19" s="10">
        <v>28</v>
      </c>
      <c r="I19" s="10">
        <v>29</v>
      </c>
      <c r="J19" s="10">
        <v>30</v>
      </c>
      <c r="K19" s="10">
        <v>31</v>
      </c>
      <c r="L19" s="17" t="s">
        <v>21</v>
      </c>
      <c r="M19" s="12" t="s">
        <v>83</v>
      </c>
      <c r="N19" s="12" t="s">
        <v>1</v>
      </c>
      <c r="O19" s="12" t="s">
        <v>2</v>
      </c>
      <c r="P19" s="12" t="s">
        <v>3</v>
      </c>
      <c r="Q19" s="12" t="s">
        <v>4</v>
      </c>
      <c r="R19" s="12" t="s">
        <v>5</v>
      </c>
    </row>
    <row r="20" spans="1:18" ht="19.95" customHeight="1" x14ac:dyDescent="0.25">
      <c r="C20" s="18" t="s">
        <v>22</v>
      </c>
      <c r="D20" s="6">
        <f>SUM(E20:K20)</f>
        <v>7</v>
      </c>
      <c r="E20" s="25" t="s">
        <v>47</v>
      </c>
      <c r="F20" s="25" t="s">
        <v>47</v>
      </c>
      <c r="H20" s="4">
        <v>2</v>
      </c>
      <c r="I20" s="4">
        <v>2</v>
      </c>
      <c r="J20" s="4">
        <v>1</v>
      </c>
      <c r="K20" s="4">
        <v>2</v>
      </c>
      <c r="L20" s="19" t="s">
        <v>47</v>
      </c>
      <c r="M20" s="13"/>
      <c r="N20" s="13" t="s">
        <v>26</v>
      </c>
      <c r="O20" s="13" t="s">
        <v>6</v>
      </c>
      <c r="P20" s="14" t="s">
        <v>32</v>
      </c>
      <c r="Q20" s="14" t="s">
        <v>48</v>
      </c>
      <c r="R20" s="14" t="s">
        <v>49</v>
      </c>
    </row>
    <row r="21" spans="1:18" ht="19.95" customHeight="1" x14ac:dyDescent="0.25">
      <c r="C21" s="18" t="s">
        <v>25</v>
      </c>
      <c r="D21" s="6">
        <f>SUM(E21:K21)</f>
        <v>1650</v>
      </c>
      <c r="E21" s="25" t="s">
        <v>47</v>
      </c>
      <c r="F21" s="25" t="s">
        <v>47</v>
      </c>
      <c r="H21" s="4">
        <v>270</v>
      </c>
      <c r="I21" s="4">
        <v>540</v>
      </c>
      <c r="J21" s="4">
        <v>540</v>
      </c>
      <c r="K21" s="4">
        <v>300</v>
      </c>
      <c r="L21" s="19" t="s">
        <v>47</v>
      </c>
      <c r="M21" s="13"/>
      <c r="N21" s="13" t="s">
        <v>23</v>
      </c>
      <c r="O21" s="13" t="s">
        <v>6</v>
      </c>
      <c r="P21" s="14" t="s">
        <v>14</v>
      </c>
      <c r="Q21" s="14" t="s">
        <v>48</v>
      </c>
      <c r="R21" s="14" t="s">
        <v>49</v>
      </c>
    </row>
    <row r="22" spans="1:18" ht="19.95" customHeight="1" x14ac:dyDescent="0.25">
      <c r="C22" s="18" t="s">
        <v>50</v>
      </c>
      <c r="D22" s="29" t="s">
        <v>86</v>
      </c>
      <c r="E22" s="25" t="s">
        <v>47</v>
      </c>
      <c r="F22" s="25" t="s">
        <v>47</v>
      </c>
      <c r="L22" s="19">
        <v>180</v>
      </c>
      <c r="M22" s="13"/>
      <c r="N22" s="13" t="s">
        <v>34</v>
      </c>
      <c r="O22" s="13" t="s">
        <v>13</v>
      </c>
      <c r="P22" s="14" t="s">
        <v>51</v>
      </c>
      <c r="Q22" s="14" t="s">
        <v>52</v>
      </c>
      <c r="R22" s="14" t="s">
        <v>17</v>
      </c>
    </row>
    <row r="23" spans="1:18" ht="19.95" hidden="1" customHeight="1" x14ac:dyDescent="0.25">
      <c r="C23" s="39" t="s">
        <v>0</v>
      </c>
      <c r="L23" s="35">
        <v>90</v>
      </c>
      <c r="M23" s="36">
        <v>202550</v>
      </c>
      <c r="N23" s="37">
        <v>44193.541666666664</v>
      </c>
      <c r="O23" s="37">
        <v>44193.604166666664</v>
      </c>
      <c r="P23" s="36" t="s">
        <v>77</v>
      </c>
      <c r="Q23" s="36" t="s">
        <v>78</v>
      </c>
      <c r="R23" s="36" t="s">
        <v>79</v>
      </c>
    </row>
    <row r="24" spans="1:18" ht="19.95" hidden="1" customHeight="1" x14ac:dyDescent="0.25">
      <c r="L24" s="19">
        <v>300</v>
      </c>
      <c r="M24" s="13"/>
      <c r="N24" s="13" t="s">
        <v>40</v>
      </c>
      <c r="O24" s="13" t="s">
        <v>18</v>
      </c>
      <c r="P24" s="14" t="s">
        <v>19</v>
      </c>
      <c r="Q24" s="14" t="s">
        <v>53</v>
      </c>
      <c r="R24" s="14" t="s">
        <v>54</v>
      </c>
    </row>
    <row r="25" spans="1:18" ht="19.95" hidden="1" customHeight="1" x14ac:dyDescent="0.25">
      <c r="L25" s="19">
        <v>240</v>
      </c>
      <c r="M25" s="13"/>
      <c r="N25" s="13" t="s">
        <v>40</v>
      </c>
      <c r="O25" s="13" t="s">
        <v>55</v>
      </c>
      <c r="P25" s="14" t="s">
        <v>56</v>
      </c>
      <c r="Q25" s="14" t="s">
        <v>57</v>
      </c>
      <c r="R25" s="14" t="s">
        <v>58</v>
      </c>
    </row>
    <row r="26" spans="1:18" ht="19.95" hidden="1" customHeight="1" x14ac:dyDescent="0.25">
      <c r="L26" s="19">
        <v>540</v>
      </c>
      <c r="M26" s="13"/>
      <c r="N26" s="13" t="s">
        <v>43</v>
      </c>
      <c r="O26" s="13" t="s">
        <v>6</v>
      </c>
      <c r="P26" s="14" t="s">
        <v>59</v>
      </c>
      <c r="Q26" s="14" t="s">
        <v>60</v>
      </c>
      <c r="R26" s="14" t="s">
        <v>61</v>
      </c>
    </row>
    <row r="27" spans="1:18" ht="19.95" hidden="1" customHeight="1" x14ac:dyDescent="0.25">
      <c r="L27" s="19">
        <v>180</v>
      </c>
      <c r="M27" s="13"/>
      <c r="N27" s="13" t="s">
        <v>62</v>
      </c>
      <c r="O27" s="13" t="s">
        <v>16</v>
      </c>
      <c r="P27" s="14" t="s">
        <v>63</v>
      </c>
      <c r="Q27" s="14" t="s">
        <v>64</v>
      </c>
      <c r="R27" s="14" t="s">
        <v>17</v>
      </c>
    </row>
    <row r="28" spans="1:18" ht="19.95" customHeight="1" x14ac:dyDescent="0.25">
      <c r="L28" s="19">
        <v>120</v>
      </c>
      <c r="M28" s="13"/>
      <c r="N28" s="13" t="s">
        <v>62</v>
      </c>
      <c r="O28" s="13" t="s">
        <v>12</v>
      </c>
      <c r="P28" s="14" t="s">
        <v>65</v>
      </c>
      <c r="Q28" s="14" t="s">
        <v>66</v>
      </c>
      <c r="R28" s="14" t="s">
        <v>67</v>
      </c>
    </row>
    <row r="29" spans="1:18" ht="19.95" customHeight="1" x14ac:dyDescent="0.25">
      <c r="A29" s="32" t="s">
        <v>93</v>
      </c>
      <c r="B29" s="31" t="s">
        <v>102</v>
      </c>
      <c r="C29" s="15" t="s">
        <v>88</v>
      </c>
      <c r="D29" s="16"/>
      <c r="E29" s="10">
        <v>25</v>
      </c>
      <c r="F29" s="10">
        <v>26</v>
      </c>
      <c r="G29" s="10">
        <v>27</v>
      </c>
      <c r="H29" s="10">
        <v>28</v>
      </c>
      <c r="I29" s="10">
        <v>29</v>
      </c>
      <c r="J29" s="10">
        <v>30</v>
      </c>
      <c r="K29" s="10">
        <v>31</v>
      </c>
      <c r="L29" s="17" t="s">
        <v>21</v>
      </c>
      <c r="M29" s="12" t="s">
        <v>83</v>
      </c>
      <c r="N29" s="12" t="s">
        <v>1</v>
      </c>
      <c r="O29" s="12" t="s">
        <v>2</v>
      </c>
      <c r="P29" s="12" t="s">
        <v>3</v>
      </c>
      <c r="Q29" s="12" t="s">
        <v>4</v>
      </c>
      <c r="R29" s="12" t="s">
        <v>5</v>
      </c>
    </row>
    <row r="30" spans="1:18" ht="19.95" customHeight="1" x14ac:dyDescent="0.25">
      <c r="C30" s="18" t="s">
        <v>22</v>
      </c>
      <c r="D30" s="6">
        <f>SUM(E30:K30)</f>
        <v>7</v>
      </c>
      <c r="E30" s="25" t="s">
        <v>47</v>
      </c>
      <c r="F30" s="25" t="s">
        <v>47</v>
      </c>
      <c r="H30" s="4">
        <v>2</v>
      </c>
      <c r="I30" s="4">
        <v>2</v>
      </c>
      <c r="J30" s="4">
        <v>1</v>
      </c>
      <c r="K30" s="4">
        <v>2</v>
      </c>
      <c r="L30" s="19" t="s">
        <v>47</v>
      </c>
      <c r="M30" s="13"/>
      <c r="N30" s="13" t="s">
        <v>26</v>
      </c>
      <c r="O30" s="13" t="s">
        <v>6</v>
      </c>
      <c r="P30" s="14" t="s">
        <v>32</v>
      </c>
      <c r="Q30" s="14" t="s">
        <v>48</v>
      </c>
      <c r="R30" s="14" t="s">
        <v>49</v>
      </c>
    </row>
    <row r="31" spans="1:18" ht="19.95" customHeight="1" x14ac:dyDescent="0.25">
      <c r="C31" s="18" t="s">
        <v>25</v>
      </c>
      <c r="D31" s="6">
        <f>SUM(E31:K31)</f>
        <v>1650</v>
      </c>
      <c r="E31" s="25" t="s">
        <v>47</v>
      </c>
      <c r="F31" s="25" t="s">
        <v>47</v>
      </c>
      <c r="H31" s="4">
        <v>270</v>
      </c>
      <c r="I31" s="4">
        <v>540</v>
      </c>
      <c r="J31" s="4">
        <v>540</v>
      </c>
      <c r="K31" s="4">
        <v>300</v>
      </c>
      <c r="L31" s="19" t="s">
        <v>47</v>
      </c>
      <c r="M31" s="13"/>
      <c r="N31" s="13" t="s">
        <v>23</v>
      </c>
      <c r="O31" s="13" t="s">
        <v>6</v>
      </c>
      <c r="P31" s="14" t="s">
        <v>14</v>
      </c>
      <c r="Q31" s="14" t="s">
        <v>48</v>
      </c>
      <c r="R31" s="14" t="s">
        <v>49</v>
      </c>
    </row>
    <row r="32" spans="1:18" ht="19.95" customHeight="1" x14ac:dyDescent="0.25">
      <c r="C32" s="18" t="s">
        <v>50</v>
      </c>
      <c r="D32" s="29" t="s">
        <v>86</v>
      </c>
      <c r="E32" s="25" t="s">
        <v>47</v>
      </c>
      <c r="F32" s="25" t="s">
        <v>47</v>
      </c>
      <c r="L32" s="19">
        <v>180</v>
      </c>
      <c r="M32" s="13"/>
      <c r="N32" s="13" t="s">
        <v>34</v>
      </c>
      <c r="O32" s="13" t="s">
        <v>13</v>
      </c>
      <c r="P32" s="14" t="s">
        <v>51</v>
      </c>
      <c r="Q32" s="14" t="s">
        <v>52</v>
      </c>
      <c r="R32" s="14" t="s">
        <v>17</v>
      </c>
    </row>
    <row r="33" spans="1:18" ht="19.95" hidden="1" customHeight="1" x14ac:dyDescent="0.25">
      <c r="C33" s="39" t="s">
        <v>0</v>
      </c>
      <c r="L33" s="35">
        <v>90</v>
      </c>
      <c r="M33" s="36">
        <v>202550</v>
      </c>
      <c r="N33" s="37">
        <v>44193.541666666664</v>
      </c>
      <c r="O33" s="37">
        <v>44193.604166666664</v>
      </c>
      <c r="P33" s="36" t="s">
        <v>77</v>
      </c>
      <c r="Q33" s="36" t="s">
        <v>78</v>
      </c>
      <c r="R33" s="36" t="s">
        <v>79</v>
      </c>
    </row>
    <row r="34" spans="1:18" ht="19.95" hidden="1" customHeight="1" x14ac:dyDescent="0.25">
      <c r="L34" s="19">
        <v>300</v>
      </c>
      <c r="M34" s="13"/>
      <c r="N34" s="13" t="s">
        <v>40</v>
      </c>
      <c r="O34" s="13" t="s">
        <v>18</v>
      </c>
      <c r="P34" s="14" t="s">
        <v>19</v>
      </c>
      <c r="Q34" s="14" t="s">
        <v>53</v>
      </c>
      <c r="R34" s="14" t="s">
        <v>54</v>
      </c>
    </row>
    <row r="35" spans="1:18" ht="19.95" hidden="1" customHeight="1" x14ac:dyDescent="0.25">
      <c r="L35" s="19">
        <v>240</v>
      </c>
      <c r="M35" s="13"/>
      <c r="N35" s="13" t="s">
        <v>40</v>
      </c>
      <c r="O35" s="13" t="s">
        <v>55</v>
      </c>
      <c r="P35" s="14" t="s">
        <v>56</v>
      </c>
      <c r="Q35" s="14" t="s">
        <v>57</v>
      </c>
      <c r="R35" s="14" t="s">
        <v>58</v>
      </c>
    </row>
    <row r="36" spans="1:18" ht="19.95" hidden="1" customHeight="1" x14ac:dyDescent="0.25">
      <c r="L36" s="19">
        <v>540</v>
      </c>
      <c r="M36" s="13"/>
      <c r="N36" s="13" t="s">
        <v>43</v>
      </c>
      <c r="O36" s="13" t="s">
        <v>6</v>
      </c>
      <c r="P36" s="14" t="s">
        <v>59</v>
      </c>
      <c r="Q36" s="14" t="s">
        <v>60</v>
      </c>
      <c r="R36" s="14" t="s">
        <v>61</v>
      </c>
    </row>
    <row r="37" spans="1:18" ht="19.95" hidden="1" customHeight="1" x14ac:dyDescent="0.25">
      <c r="L37" s="19">
        <v>180</v>
      </c>
      <c r="M37" s="13"/>
      <c r="N37" s="13" t="s">
        <v>62</v>
      </c>
      <c r="O37" s="13" t="s">
        <v>16</v>
      </c>
      <c r="P37" s="14" t="s">
        <v>63</v>
      </c>
      <c r="Q37" s="14" t="s">
        <v>64</v>
      </c>
      <c r="R37" s="14" t="s">
        <v>17</v>
      </c>
    </row>
    <row r="38" spans="1:18" ht="19.95" customHeight="1" x14ac:dyDescent="0.25">
      <c r="L38" s="19">
        <v>120</v>
      </c>
      <c r="M38" s="13"/>
      <c r="N38" s="13" t="s">
        <v>62</v>
      </c>
      <c r="O38" s="13" t="s">
        <v>12</v>
      </c>
      <c r="P38" s="14" t="s">
        <v>65</v>
      </c>
      <c r="Q38" s="14" t="s">
        <v>66</v>
      </c>
      <c r="R38" s="14" t="s">
        <v>67</v>
      </c>
    </row>
    <row r="39" spans="1:18" ht="19.95" customHeight="1" x14ac:dyDescent="0.25">
      <c r="A39" s="32" t="s">
        <v>98</v>
      </c>
      <c r="B39" s="31" t="s">
        <v>100</v>
      </c>
      <c r="C39" s="15" t="s">
        <v>89</v>
      </c>
      <c r="D39" s="16"/>
      <c r="E39" s="10">
        <v>25</v>
      </c>
      <c r="F39" s="10">
        <v>26</v>
      </c>
      <c r="G39" s="10">
        <v>27</v>
      </c>
      <c r="H39" s="10">
        <v>28</v>
      </c>
      <c r="I39" s="10">
        <v>29</v>
      </c>
      <c r="J39" s="10">
        <v>30</v>
      </c>
      <c r="K39" s="10">
        <v>31</v>
      </c>
      <c r="L39" s="17" t="s">
        <v>21</v>
      </c>
      <c r="M39" s="12" t="s">
        <v>83</v>
      </c>
      <c r="N39" s="12" t="s">
        <v>1</v>
      </c>
      <c r="O39" s="12" t="s">
        <v>2</v>
      </c>
      <c r="P39" s="12" t="s">
        <v>3</v>
      </c>
      <c r="Q39" s="12" t="s">
        <v>4</v>
      </c>
      <c r="R39" s="12" t="s">
        <v>5</v>
      </c>
    </row>
    <row r="40" spans="1:18" ht="19.95" customHeight="1" x14ac:dyDescent="0.25">
      <c r="C40" s="18" t="s">
        <v>22</v>
      </c>
      <c r="D40" s="6">
        <f>SUM(E40:K40)</f>
        <v>11</v>
      </c>
      <c r="E40" s="4">
        <v>4</v>
      </c>
      <c r="F40" s="4">
        <v>1</v>
      </c>
      <c r="H40" s="4">
        <v>2</v>
      </c>
      <c r="I40" s="4">
        <v>1</v>
      </c>
      <c r="J40" s="4">
        <v>2</v>
      </c>
      <c r="K40" s="4">
        <v>1</v>
      </c>
      <c r="L40" s="19">
        <v>60</v>
      </c>
      <c r="M40" s="13"/>
      <c r="N40" s="13" t="s">
        <v>26</v>
      </c>
      <c r="O40" s="13" t="s">
        <v>6</v>
      </c>
      <c r="P40" s="14" t="s">
        <v>14</v>
      </c>
      <c r="Q40" s="14" t="s">
        <v>27</v>
      </c>
      <c r="R40" s="14" t="s">
        <v>15</v>
      </c>
    </row>
    <row r="41" spans="1:18" ht="19.95" customHeight="1" x14ac:dyDescent="0.25">
      <c r="C41" s="18" t="s">
        <v>25</v>
      </c>
      <c r="D41" s="6">
        <f>SUM(E41:K41)</f>
        <v>1425</v>
      </c>
      <c r="E41" s="4">
        <v>240</v>
      </c>
      <c r="F41" s="4">
        <v>120</v>
      </c>
      <c r="H41" s="4">
        <v>330</v>
      </c>
      <c r="I41" s="4">
        <v>300</v>
      </c>
      <c r="J41" s="4">
        <v>75</v>
      </c>
      <c r="K41" s="4">
        <v>359.99999999999994</v>
      </c>
      <c r="L41" s="19">
        <v>60</v>
      </c>
      <c r="M41" s="13"/>
      <c r="N41" s="13" t="s">
        <v>26</v>
      </c>
      <c r="O41" s="13" t="s">
        <v>18</v>
      </c>
      <c r="P41" s="14" t="s">
        <v>28</v>
      </c>
      <c r="Q41" s="14" t="s">
        <v>29</v>
      </c>
      <c r="R41" s="14" t="s">
        <v>15</v>
      </c>
    </row>
    <row r="42" spans="1:18" ht="19.95" customHeight="1" x14ac:dyDescent="0.25">
      <c r="L42" s="19">
        <v>60</v>
      </c>
      <c r="M42" s="13"/>
      <c r="N42" s="13" t="s">
        <v>26</v>
      </c>
      <c r="O42" s="13" t="s">
        <v>12</v>
      </c>
      <c r="P42" s="14" t="s">
        <v>30</v>
      </c>
      <c r="Q42" s="14" t="s">
        <v>29</v>
      </c>
      <c r="R42" s="14" t="s">
        <v>15</v>
      </c>
    </row>
    <row r="43" spans="1:18" ht="19.95" customHeight="1" x14ac:dyDescent="0.25">
      <c r="L43" s="19">
        <v>60</v>
      </c>
      <c r="M43" s="13"/>
      <c r="N43" s="13" t="s">
        <v>26</v>
      </c>
      <c r="O43" s="13" t="s">
        <v>31</v>
      </c>
      <c r="P43" s="14" t="s">
        <v>32</v>
      </c>
      <c r="Q43" s="14" t="s">
        <v>29</v>
      </c>
      <c r="R43" s="14" t="s">
        <v>15</v>
      </c>
    </row>
    <row r="44" spans="1:18" ht="19.95" hidden="1" customHeight="1" x14ac:dyDescent="0.25">
      <c r="L44" s="19">
        <v>120</v>
      </c>
      <c r="M44" s="13"/>
      <c r="N44" s="13" t="s">
        <v>23</v>
      </c>
      <c r="O44" s="13" t="s">
        <v>6</v>
      </c>
      <c r="P44" s="14" t="s">
        <v>7</v>
      </c>
      <c r="Q44" s="14" t="s">
        <v>33</v>
      </c>
      <c r="R44" s="14" t="s">
        <v>11</v>
      </c>
    </row>
    <row r="45" spans="1:18" ht="19.95" hidden="1" customHeight="1" x14ac:dyDescent="0.25">
      <c r="L45" s="19">
        <v>300</v>
      </c>
      <c r="M45" s="13"/>
      <c r="N45" s="13" t="s">
        <v>34</v>
      </c>
      <c r="O45" s="13" t="s">
        <v>6</v>
      </c>
      <c r="P45" s="14" t="s">
        <v>7</v>
      </c>
      <c r="Q45" s="14" t="s">
        <v>35</v>
      </c>
      <c r="R45" s="14" t="s">
        <v>36</v>
      </c>
    </row>
    <row r="46" spans="1:18" ht="19.95" hidden="1" customHeight="1" x14ac:dyDescent="0.25">
      <c r="L46" s="19">
        <v>30</v>
      </c>
      <c r="M46" s="13"/>
      <c r="N46" s="13" t="s">
        <v>34</v>
      </c>
      <c r="O46" s="13" t="s">
        <v>37</v>
      </c>
      <c r="P46" s="14" t="s">
        <v>7</v>
      </c>
      <c r="Q46" s="14" t="s">
        <v>38</v>
      </c>
      <c r="R46" s="14" t="s">
        <v>39</v>
      </c>
    </row>
    <row r="47" spans="1:18" ht="19.95" hidden="1" customHeight="1" x14ac:dyDescent="0.25">
      <c r="L47" s="19">
        <v>300</v>
      </c>
      <c r="M47" s="13"/>
      <c r="N47" s="13" t="s">
        <v>40</v>
      </c>
      <c r="O47" s="13" t="s">
        <v>41</v>
      </c>
      <c r="P47" s="14" t="s">
        <v>20</v>
      </c>
      <c r="Q47" s="14" t="s">
        <v>42</v>
      </c>
      <c r="R47" s="14" t="s">
        <v>36</v>
      </c>
    </row>
    <row r="48" spans="1:18" ht="19.95" hidden="1" customHeight="1" x14ac:dyDescent="0.25">
      <c r="L48" s="19">
        <v>15</v>
      </c>
      <c r="M48" s="13"/>
      <c r="N48" s="13" t="s">
        <v>43</v>
      </c>
      <c r="O48" s="13" t="s">
        <v>13</v>
      </c>
      <c r="P48" s="14" t="s">
        <v>44</v>
      </c>
      <c r="Q48" s="14" t="s">
        <v>45</v>
      </c>
      <c r="R48" s="14" t="s">
        <v>15</v>
      </c>
    </row>
    <row r="49" spans="1:18" ht="19.95" hidden="1" customHeight="1" x14ac:dyDescent="0.25">
      <c r="L49" s="19">
        <v>60</v>
      </c>
      <c r="M49" s="13"/>
      <c r="N49" s="13" t="s">
        <v>43</v>
      </c>
      <c r="O49" s="13" t="s">
        <v>10</v>
      </c>
      <c r="P49" s="14" t="s">
        <v>7</v>
      </c>
      <c r="Q49" s="14" t="s">
        <v>46</v>
      </c>
      <c r="R49" s="14" t="s">
        <v>15</v>
      </c>
    </row>
    <row r="50" spans="1:18" ht="19.95" customHeight="1" x14ac:dyDescent="0.25">
      <c r="C50" s="39" t="s">
        <v>0</v>
      </c>
      <c r="L50" s="35">
        <v>359.99999999999994</v>
      </c>
      <c r="M50" s="36">
        <v>202582</v>
      </c>
      <c r="N50" s="37">
        <v>44196.416666666664</v>
      </c>
      <c r="O50" s="37">
        <v>44196.666666666664</v>
      </c>
      <c r="P50" s="36" t="s">
        <v>80</v>
      </c>
      <c r="Q50" s="36" t="s">
        <v>81</v>
      </c>
      <c r="R50" s="36" t="s">
        <v>82</v>
      </c>
    </row>
    <row r="51" spans="1:18" ht="19.95" customHeight="1" x14ac:dyDescent="0.25">
      <c r="A51" s="32" t="s">
        <v>98</v>
      </c>
      <c r="B51" s="31" t="s">
        <v>101</v>
      </c>
      <c r="C51" s="15" t="s">
        <v>89</v>
      </c>
      <c r="D51" s="16"/>
      <c r="E51" s="10">
        <v>25</v>
      </c>
      <c r="F51" s="10">
        <v>26</v>
      </c>
      <c r="G51" s="10">
        <v>27</v>
      </c>
      <c r="H51" s="10">
        <v>28</v>
      </c>
      <c r="I51" s="10">
        <v>29</v>
      </c>
      <c r="J51" s="10">
        <v>30</v>
      </c>
      <c r="K51" s="10">
        <v>31</v>
      </c>
      <c r="L51" s="17" t="s">
        <v>21</v>
      </c>
      <c r="M51" s="12" t="s">
        <v>83</v>
      </c>
      <c r="N51" s="12" t="s">
        <v>1</v>
      </c>
      <c r="O51" s="12" t="s">
        <v>2</v>
      </c>
      <c r="P51" s="12" t="s">
        <v>3</v>
      </c>
      <c r="Q51" s="12" t="s">
        <v>4</v>
      </c>
      <c r="R51" s="12" t="s">
        <v>5</v>
      </c>
    </row>
    <row r="52" spans="1:18" ht="19.95" customHeight="1" x14ac:dyDescent="0.25">
      <c r="C52" s="18" t="s">
        <v>22</v>
      </c>
      <c r="D52" s="6">
        <f>SUM(E52:K52)</f>
        <v>11</v>
      </c>
      <c r="E52" s="4">
        <v>4</v>
      </c>
      <c r="F52" s="4">
        <v>1</v>
      </c>
      <c r="H52" s="4">
        <v>2</v>
      </c>
      <c r="I52" s="4">
        <v>1</v>
      </c>
      <c r="J52" s="4">
        <v>2</v>
      </c>
      <c r="K52" s="4">
        <v>1</v>
      </c>
      <c r="L52" s="19">
        <v>60</v>
      </c>
      <c r="M52" s="13"/>
      <c r="N52" s="13" t="s">
        <v>26</v>
      </c>
      <c r="O52" s="13" t="s">
        <v>6</v>
      </c>
      <c r="P52" s="14" t="s">
        <v>14</v>
      </c>
      <c r="Q52" s="14" t="s">
        <v>27</v>
      </c>
      <c r="R52" s="14" t="s">
        <v>15</v>
      </c>
    </row>
    <row r="53" spans="1:18" ht="19.95" customHeight="1" x14ac:dyDescent="0.25">
      <c r="C53" s="18" t="s">
        <v>25</v>
      </c>
      <c r="D53" s="6">
        <f>SUM(E53:K53)</f>
        <v>1425</v>
      </c>
      <c r="E53" s="4">
        <v>240</v>
      </c>
      <c r="F53" s="4">
        <v>120</v>
      </c>
      <c r="H53" s="4">
        <v>330</v>
      </c>
      <c r="I53" s="4">
        <v>300</v>
      </c>
      <c r="J53" s="4">
        <v>75</v>
      </c>
      <c r="K53" s="4">
        <v>359.99999999999994</v>
      </c>
      <c r="L53" s="19">
        <v>60</v>
      </c>
      <c r="M53" s="13"/>
      <c r="N53" s="13" t="s">
        <v>26</v>
      </c>
      <c r="O53" s="13" t="s">
        <v>18</v>
      </c>
      <c r="P53" s="14" t="s">
        <v>28</v>
      </c>
      <c r="Q53" s="14" t="s">
        <v>29</v>
      </c>
      <c r="R53" s="14" t="s">
        <v>15</v>
      </c>
    </row>
    <row r="54" spans="1:18" ht="19.95" customHeight="1" x14ac:dyDescent="0.25">
      <c r="L54" s="19">
        <v>60</v>
      </c>
      <c r="M54" s="13"/>
      <c r="N54" s="13" t="s">
        <v>26</v>
      </c>
      <c r="O54" s="13" t="s">
        <v>12</v>
      </c>
      <c r="P54" s="14" t="s">
        <v>30</v>
      </c>
      <c r="Q54" s="14" t="s">
        <v>29</v>
      </c>
      <c r="R54" s="14" t="s">
        <v>15</v>
      </c>
    </row>
    <row r="55" spans="1:18" ht="19.95" customHeight="1" x14ac:dyDescent="0.25">
      <c r="L55" s="19">
        <v>60</v>
      </c>
      <c r="M55" s="13"/>
      <c r="N55" s="13" t="s">
        <v>26</v>
      </c>
      <c r="O55" s="13" t="s">
        <v>31</v>
      </c>
      <c r="P55" s="14" t="s">
        <v>32</v>
      </c>
      <c r="Q55" s="14" t="s">
        <v>29</v>
      </c>
      <c r="R55" s="14" t="s">
        <v>15</v>
      </c>
    </row>
    <row r="56" spans="1:18" ht="19.95" hidden="1" customHeight="1" x14ac:dyDescent="0.25">
      <c r="L56" s="19">
        <v>120</v>
      </c>
      <c r="M56" s="13"/>
      <c r="N56" s="13" t="s">
        <v>23</v>
      </c>
      <c r="O56" s="13" t="s">
        <v>6</v>
      </c>
      <c r="P56" s="14" t="s">
        <v>7</v>
      </c>
      <c r="Q56" s="14" t="s">
        <v>33</v>
      </c>
      <c r="R56" s="14" t="s">
        <v>11</v>
      </c>
    </row>
    <row r="57" spans="1:18" ht="19.95" hidden="1" customHeight="1" x14ac:dyDescent="0.25">
      <c r="L57" s="19">
        <v>300</v>
      </c>
      <c r="M57" s="13"/>
      <c r="N57" s="13" t="s">
        <v>34</v>
      </c>
      <c r="O57" s="13" t="s">
        <v>6</v>
      </c>
      <c r="P57" s="14" t="s">
        <v>7</v>
      </c>
      <c r="Q57" s="14" t="s">
        <v>35</v>
      </c>
      <c r="R57" s="14" t="s">
        <v>36</v>
      </c>
    </row>
    <row r="58" spans="1:18" ht="19.95" hidden="1" customHeight="1" x14ac:dyDescent="0.25">
      <c r="L58" s="19">
        <v>30</v>
      </c>
      <c r="M58" s="13"/>
      <c r="N58" s="13" t="s">
        <v>34</v>
      </c>
      <c r="O58" s="13" t="s">
        <v>37</v>
      </c>
      <c r="P58" s="14" t="s">
        <v>7</v>
      </c>
      <c r="Q58" s="14" t="s">
        <v>38</v>
      </c>
      <c r="R58" s="14" t="s">
        <v>39</v>
      </c>
    </row>
    <row r="59" spans="1:18" ht="19.95" hidden="1" customHeight="1" x14ac:dyDescent="0.25">
      <c r="L59" s="19">
        <v>300</v>
      </c>
      <c r="M59" s="13"/>
      <c r="N59" s="13" t="s">
        <v>40</v>
      </c>
      <c r="O59" s="13" t="s">
        <v>41</v>
      </c>
      <c r="P59" s="14" t="s">
        <v>20</v>
      </c>
      <c r="Q59" s="14" t="s">
        <v>42</v>
      </c>
      <c r="R59" s="14" t="s">
        <v>36</v>
      </c>
    </row>
    <row r="60" spans="1:18" ht="19.95" hidden="1" customHeight="1" x14ac:dyDescent="0.25">
      <c r="L60" s="19">
        <v>15</v>
      </c>
      <c r="M60" s="13"/>
      <c r="N60" s="13" t="s">
        <v>43</v>
      </c>
      <c r="O60" s="13" t="s">
        <v>13</v>
      </c>
      <c r="P60" s="14" t="s">
        <v>44</v>
      </c>
      <c r="Q60" s="14" t="s">
        <v>45</v>
      </c>
      <c r="R60" s="14" t="s">
        <v>15</v>
      </c>
    </row>
    <row r="61" spans="1:18" ht="19.95" hidden="1" customHeight="1" x14ac:dyDescent="0.25">
      <c r="L61" s="19">
        <v>60</v>
      </c>
      <c r="M61" s="13"/>
      <c r="N61" s="13" t="s">
        <v>43</v>
      </c>
      <c r="O61" s="13" t="s">
        <v>10</v>
      </c>
      <c r="P61" s="14" t="s">
        <v>7</v>
      </c>
      <c r="Q61" s="14" t="s">
        <v>46</v>
      </c>
      <c r="R61" s="14" t="s">
        <v>15</v>
      </c>
    </row>
    <row r="62" spans="1:18" ht="19.95" customHeight="1" x14ac:dyDescent="0.25">
      <c r="C62" s="39" t="s">
        <v>0</v>
      </c>
      <c r="L62" s="35">
        <v>359.99999999999994</v>
      </c>
      <c r="M62" s="36">
        <v>202582</v>
      </c>
      <c r="N62" s="37">
        <v>44196.416666666664</v>
      </c>
      <c r="O62" s="37">
        <v>44196.666666666664</v>
      </c>
      <c r="P62" s="36" t="s">
        <v>80</v>
      </c>
      <c r="Q62" s="36" t="s">
        <v>81</v>
      </c>
      <c r="R62" s="36" t="s">
        <v>82</v>
      </c>
    </row>
  </sheetData>
  <printOptions horizontalCentered="1"/>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P6"/>
  <sheetViews>
    <sheetView workbookViewId="0"/>
  </sheetViews>
  <sheetFormatPr defaultRowHeight="13.2" x14ac:dyDescent="0.25"/>
  <cols>
    <col min="1" max="1" width="22" bestFit="1" customWidth="1"/>
    <col min="2" max="2" width="6.6640625" bestFit="1" customWidth="1"/>
    <col min="3" max="3" width="3.5546875" bestFit="1" customWidth="1"/>
    <col min="4" max="5" width="2.6640625" bestFit="1" customWidth="1"/>
    <col min="6" max="7" width="3.5546875" bestFit="1" customWidth="1"/>
    <col min="8" max="9" width="2.6640625" bestFit="1" customWidth="1"/>
    <col min="10" max="10" width="13.44140625" bestFit="1" customWidth="1"/>
    <col min="11" max="11" width="6.77734375" bestFit="1" customWidth="1"/>
    <col min="12" max="13" width="15.109375" bestFit="1" customWidth="1"/>
    <col min="14" max="14" width="48.33203125" bestFit="1" customWidth="1"/>
    <col min="15" max="15" width="62.88671875" bestFit="1" customWidth="1"/>
    <col min="16" max="16" width="207.109375" bestFit="1" customWidth="1"/>
  </cols>
  <sheetData>
    <row r="1" spans="1:16" s="11" customFormat="1" ht="19.95" customHeight="1" x14ac:dyDescent="0.25">
      <c r="A1" s="15" t="s">
        <v>90</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5</v>
      </c>
      <c r="C2" s="4">
        <v>1</v>
      </c>
      <c r="D2" s="4">
        <v>1</v>
      </c>
      <c r="E2" s="9"/>
      <c r="F2" s="4">
        <v>1</v>
      </c>
      <c r="G2" s="4">
        <v>1</v>
      </c>
      <c r="H2" s="4">
        <v>1</v>
      </c>
      <c r="I2" s="4"/>
      <c r="J2" s="20">
        <v>120.00000000000006</v>
      </c>
      <c r="K2" s="21">
        <v>202569</v>
      </c>
      <c r="L2" s="22">
        <v>44190.541666666664</v>
      </c>
      <c r="M2" s="22">
        <v>44190.625</v>
      </c>
      <c r="N2" s="30" t="s">
        <v>87</v>
      </c>
      <c r="O2" s="21" t="s">
        <v>70</v>
      </c>
      <c r="P2" s="21" t="s">
        <v>71</v>
      </c>
    </row>
    <row r="3" spans="1:16" s="11" customFormat="1" ht="19.95" customHeight="1" x14ac:dyDescent="0.25">
      <c r="A3" s="18" t="s">
        <v>25</v>
      </c>
      <c r="B3" s="6">
        <f>SUM(C3:I3)</f>
        <v>760.00000000000011</v>
      </c>
      <c r="C3" s="4">
        <v>120.00000000000006</v>
      </c>
      <c r="D3" s="4">
        <v>60</v>
      </c>
      <c r="E3" s="9"/>
      <c r="F3" s="4">
        <v>240.00000000000003</v>
      </c>
      <c r="G3" s="4">
        <v>240.00000000000003</v>
      </c>
      <c r="H3" s="4">
        <v>60.000000000000028</v>
      </c>
      <c r="I3" s="4">
        <v>40</v>
      </c>
      <c r="J3" s="19">
        <v>60</v>
      </c>
      <c r="K3" s="13"/>
      <c r="L3" s="13" t="s">
        <v>23</v>
      </c>
      <c r="M3" s="13" t="s">
        <v>6</v>
      </c>
      <c r="N3" s="14" t="s">
        <v>28</v>
      </c>
      <c r="O3" s="14" t="s">
        <v>24</v>
      </c>
      <c r="P3" s="14" t="s">
        <v>8</v>
      </c>
    </row>
    <row r="4" spans="1:16" s="11" customFormat="1" ht="19.95" customHeight="1" x14ac:dyDescent="0.25">
      <c r="A4" s="23" t="s">
        <v>92</v>
      </c>
      <c r="B4" s="5" t="str">
        <f>COUNTIF(C4:I4,"X")&amp;" ngày"</f>
        <v>1 ngày</v>
      </c>
      <c r="C4" s="4" t="s">
        <v>0</v>
      </c>
      <c r="D4" s="4" t="s">
        <v>0</v>
      </c>
      <c r="E4" s="9"/>
      <c r="F4" s="4" t="s">
        <v>0</v>
      </c>
      <c r="G4" s="4" t="s">
        <v>0</v>
      </c>
      <c r="H4" s="4" t="s">
        <v>0</v>
      </c>
      <c r="I4" s="4" t="s">
        <v>84</v>
      </c>
      <c r="J4" s="20">
        <v>240.00000000000003</v>
      </c>
      <c r="K4" s="21">
        <v>202570</v>
      </c>
      <c r="L4" s="22">
        <v>44193.333333333336</v>
      </c>
      <c r="M4" s="22">
        <v>44193.5</v>
      </c>
      <c r="N4" s="21" t="s">
        <v>9</v>
      </c>
      <c r="O4" s="21" t="s">
        <v>72</v>
      </c>
      <c r="P4" s="21" t="s">
        <v>73</v>
      </c>
    </row>
    <row r="5" spans="1:16" s="11" customFormat="1" ht="19.95" customHeight="1" x14ac:dyDescent="0.25">
      <c r="A5" s="33" t="s">
        <v>94</v>
      </c>
      <c r="B5" s="6"/>
      <c r="C5" s="4"/>
      <c r="D5" s="4"/>
      <c r="E5" s="9"/>
      <c r="F5" s="4"/>
      <c r="G5" s="4"/>
      <c r="H5" s="4"/>
      <c r="I5" s="4"/>
      <c r="J5" s="20">
        <v>240.00000000000003</v>
      </c>
      <c r="K5" s="21">
        <v>202571</v>
      </c>
      <c r="L5" s="22">
        <v>44194.333333333336</v>
      </c>
      <c r="M5" s="22">
        <v>44194.5</v>
      </c>
      <c r="N5" s="21" t="s">
        <v>74</v>
      </c>
      <c r="O5" s="21" t="s">
        <v>75</v>
      </c>
      <c r="P5" s="21" t="s">
        <v>76</v>
      </c>
    </row>
    <row r="6" spans="1:16" s="11" customFormat="1" ht="19.95" customHeight="1" x14ac:dyDescent="0.25">
      <c r="A6" s="33" t="s">
        <v>95</v>
      </c>
      <c r="B6" s="6"/>
      <c r="C6" s="4"/>
      <c r="D6" s="4"/>
      <c r="E6" s="9"/>
      <c r="F6" s="4"/>
      <c r="G6" s="4"/>
      <c r="H6" s="4"/>
      <c r="I6" s="4"/>
      <c r="J6" s="20">
        <v>60.000000000000028</v>
      </c>
      <c r="K6" s="21">
        <v>202572</v>
      </c>
      <c r="L6" s="22">
        <v>44195.375</v>
      </c>
      <c r="M6" s="22">
        <v>44195.416666666664</v>
      </c>
      <c r="N6" s="21" t="s">
        <v>7</v>
      </c>
      <c r="O6" s="21" t="s">
        <v>68</v>
      </c>
      <c r="P6" s="21"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P12"/>
  <sheetViews>
    <sheetView workbookViewId="0"/>
  </sheetViews>
  <sheetFormatPr defaultRowHeight="13.2" x14ac:dyDescent="0.25"/>
  <cols>
    <col min="1" max="1" width="22" bestFit="1" customWidth="1"/>
    <col min="2" max="2" width="5.21875" bestFit="1" customWidth="1"/>
    <col min="3" max="4" width="3.5546875" bestFit="1" customWidth="1"/>
    <col min="5" max="5" width="2.6640625" bestFit="1" customWidth="1"/>
    <col min="6" max="7" width="3.5546875" bestFit="1" customWidth="1"/>
    <col min="8" max="8" width="2.6640625" bestFit="1" customWidth="1"/>
    <col min="9" max="9" width="3.5546875" bestFit="1" customWidth="1"/>
    <col min="10" max="10" width="13.44140625" bestFit="1" customWidth="1"/>
    <col min="11" max="11" width="6.77734375" bestFit="1" customWidth="1"/>
    <col min="12" max="13" width="15.109375" bestFit="1" customWidth="1"/>
    <col min="14" max="14" width="54.21875" bestFit="1" customWidth="1"/>
    <col min="15" max="15" width="64" bestFit="1" customWidth="1"/>
    <col min="16" max="16" width="60.109375" bestFit="1" customWidth="1"/>
  </cols>
  <sheetData>
    <row r="1" spans="1:16" s="11" customFormat="1" ht="19.95" customHeight="1" x14ac:dyDescent="0.25">
      <c r="A1" s="15" t="s">
        <v>89</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11</v>
      </c>
      <c r="C2" s="4">
        <v>4</v>
      </c>
      <c r="D2" s="4">
        <v>1</v>
      </c>
      <c r="E2" s="9"/>
      <c r="F2" s="4">
        <v>2</v>
      </c>
      <c r="G2" s="4">
        <v>1</v>
      </c>
      <c r="H2" s="4">
        <v>2</v>
      </c>
      <c r="I2" s="4">
        <v>1</v>
      </c>
      <c r="J2" s="19">
        <v>60</v>
      </c>
      <c r="K2" s="13"/>
      <c r="L2" s="13" t="s">
        <v>26</v>
      </c>
      <c r="M2" s="13" t="s">
        <v>6</v>
      </c>
      <c r="N2" s="14" t="s">
        <v>14</v>
      </c>
      <c r="O2" s="14" t="s">
        <v>27</v>
      </c>
      <c r="P2" s="14" t="s">
        <v>15</v>
      </c>
    </row>
    <row r="3" spans="1:16" s="11" customFormat="1" ht="19.95" customHeight="1" x14ac:dyDescent="0.25">
      <c r="A3" s="18" t="s">
        <v>25</v>
      </c>
      <c r="B3" s="6">
        <f>SUM(C3:I3)</f>
        <v>1425</v>
      </c>
      <c r="C3" s="4">
        <v>240</v>
      </c>
      <c r="D3" s="4">
        <v>120</v>
      </c>
      <c r="E3" s="9"/>
      <c r="F3" s="4">
        <v>330</v>
      </c>
      <c r="G3" s="4">
        <v>300</v>
      </c>
      <c r="H3" s="4">
        <v>75</v>
      </c>
      <c r="I3" s="4">
        <v>359.99999999999994</v>
      </c>
      <c r="J3" s="19">
        <v>60</v>
      </c>
      <c r="K3" s="13"/>
      <c r="L3" s="13" t="s">
        <v>26</v>
      </c>
      <c r="M3" s="13" t="s">
        <v>18</v>
      </c>
      <c r="N3" s="14" t="s">
        <v>28</v>
      </c>
      <c r="O3" s="14" t="s">
        <v>29</v>
      </c>
      <c r="P3" s="14" t="s">
        <v>15</v>
      </c>
    </row>
    <row r="4" spans="1:16" s="11" customFormat="1" ht="19.95" customHeight="1" x14ac:dyDescent="0.25">
      <c r="A4" s="23" t="s">
        <v>92</v>
      </c>
      <c r="B4" s="6"/>
      <c r="C4" s="4"/>
      <c r="D4" s="4"/>
      <c r="E4" s="9"/>
      <c r="F4" s="4"/>
      <c r="G4" s="4"/>
      <c r="H4" s="4"/>
      <c r="I4" s="4"/>
      <c r="J4" s="19">
        <v>60</v>
      </c>
      <c r="K4" s="13"/>
      <c r="L4" s="13" t="s">
        <v>26</v>
      </c>
      <c r="M4" s="13" t="s">
        <v>12</v>
      </c>
      <c r="N4" s="14" t="s">
        <v>30</v>
      </c>
      <c r="O4" s="14" t="s">
        <v>29</v>
      </c>
      <c r="P4" s="14" t="s">
        <v>15</v>
      </c>
    </row>
    <row r="5" spans="1:16" s="11" customFormat="1" ht="13.8" x14ac:dyDescent="0.25">
      <c r="A5" s="33" t="s">
        <v>94</v>
      </c>
      <c r="B5" s="6"/>
      <c r="C5" s="4"/>
      <c r="D5" s="4"/>
      <c r="E5" s="9"/>
      <c r="F5" s="4"/>
      <c r="G5" s="4"/>
      <c r="H5" s="4"/>
      <c r="I5" s="4"/>
      <c r="J5" s="19">
        <v>60</v>
      </c>
      <c r="K5" s="13"/>
      <c r="L5" s="13" t="s">
        <v>26</v>
      </c>
      <c r="M5" s="13" t="s">
        <v>31</v>
      </c>
      <c r="N5" s="14" t="s">
        <v>32</v>
      </c>
      <c r="O5" s="14" t="s">
        <v>29</v>
      </c>
      <c r="P5" s="14" t="s">
        <v>15</v>
      </c>
    </row>
    <row r="6" spans="1:16" s="11" customFormat="1" ht="13.8" x14ac:dyDescent="0.25">
      <c r="A6" s="33" t="s">
        <v>95</v>
      </c>
      <c r="B6" s="6"/>
      <c r="C6" s="4"/>
      <c r="D6" s="4"/>
      <c r="E6" s="9"/>
      <c r="F6" s="4"/>
      <c r="G6" s="4"/>
      <c r="H6" s="4"/>
      <c r="I6" s="4"/>
      <c r="J6" s="19">
        <v>120</v>
      </c>
      <c r="K6" s="13"/>
      <c r="L6" s="13" t="s">
        <v>23</v>
      </c>
      <c r="M6" s="13" t="s">
        <v>6</v>
      </c>
      <c r="N6" s="14" t="s">
        <v>7</v>
      </c>
      <c r="O6" s="14" t="s">
        <v>33</v>
      </c>
      <c r="P6" s="14" t="s">
        <v>11</v>
      </c>
    </row>
    <row r="7" spans="1:16" s="11" customFormat="1" ht="26.4" x14ac:dyDescent="0.25">
      <c r="A7" s="7"/>
      <c r="B7" s="6"/>
      <c r="C7" s="4"/>
      <c r="D7" s="4"/>
      <c r="E7" s="9"/>
      <c r="F7" s="4"/>
      <c r="G7" s="4"/>
      <c r="H7" s="4"/>
      <c r="I7" s="4"/>
      <c r="J7" s="19">
        <v>300</v>
      </c>
      <c r="K7" s="13"/>
      <c r="L7" s="13" t="s">
        <v>34</v>
      </c>
      <c r="M7" s="13" t="s">
        <v>6</v>
      </c>
      <c r="N7" s="14" t="s">
        <v>7</v>
      </c>
      <c r="O7" s="14" t="s">
        <v>35</v>
      </c>
      <c r="P7" s="14" t="s">
        <v>36</v>
      </c>
    </row>
    <row r="8" spans="1:16" s="11" customFormat="1" ht="13.8" x14ac:dyDescent="0.25">
      <c r="A8" s="7"/>
      <c r="B8" s="6"/>
      <c r="C8" s="4"/>
      <c r="D8" s="4"/>
      <c r="E8" s="9"/>
      <c r="F8" s="4"/>
      <c r="G8" s="4"/>
      <c r="H8" s="4"/>
      <c r="I8" s="4"/>
      <c r="J8" s="19">
        <v>30</v>
      </c>
      <c r="K8" s="13"/>
      <c r="L8" s="13" t="s">
        <v>34</v>
      </c>
      <c r="M8" s="13" t="s">
        <v>37</v>
      </c>
      <c r="N8" s="14" t="s">
        <v>7</v>
      </c>
      <c r="O8" s="14" t="s">
        <v>38</v>
      </c>
      <c r="P8" s="14" t="s">
        <v>39</v>
      </c>
    </row>
    <row r="9" spans="1:16" s="11" customFormat="1" ht="13.8" x14ac:dyDescent="0.25">
      <c r="A9" s="7"/>
      <c r="B9" s="6"/>
      <c r="C9" s="4"/>
      <c r="D9" s="4"/>
      <c r="E9" s="9"/>
      <c r="F9" s="4"/>
      <c r="G9" s="4"/>
      <c r="H9" s="4"/>
      <c r="I9" s="4"/>
      <c r="J9" s="19">
        <v>300</v>
      </c>
      <c r="K9" s="13"/>
      <c r="L9" s="13" t="s">
        <v>40</v>
      </c>
      <c r="M9" s="13" t="s">
        <v>41</v>
      </c>
      <c r="N9" s="14" t="s">
        <v>20</v>
      </c>
      <c r="O9" s="14" t="s">
        <v>42</v>
      </c>
      <c r="P9" s="14" t="s">
        <v>36</v>
      </c>
    </row>
    <row r="10" spans="1:16" s="11" customFormat="1" ht="13.8" x14ac:dyDescent="0.25">
      <c r="A10" s="7"/>
      <c r="B10" s="6"/>
      <c r="C10" s="4"/>
      <c r="D10" s="4"/>
      <c r="E10" s="9"/>
      <c r="F10" s="4"/>
      <c r="G10" s="4"/>
      <c r="H10" s="4"/>
      <c r="I10" s="4"/>
      <c r="J10" s="19">
        <v>15</v>
      </c>
      <c r="K10" s="13"/>
      <c r="L10" s="13" t="s">
        <v>43</v>
      </c>
      <c r="M10" s="13" t="s">
        <v>13</v>
      </c>
      <c r="N10" s="14" t="s">
        <v>44</v>
      </c>
      <c r="O10" s="14" t="s">
        <v>45</v>
      </c>
      <c r="P10" s="14" t="s">
        <v>15</v>
      </c>
    </row>
    <row r="11" spans="1:16" s="11" customFormat="1" ht="13.8" x14ac:dyDescent="0.25">
      <c r="A11" s="7"/>
      <c r="B11" s="6"/>
      <c r="C11" s="4"/>
      <c r="D11" s="4"/>
      <c r="E11" s="9"/>
      <c r="F11" s="4"/>
      <c r="G11" s="4"/>
      <c r="H11" s="4"/>
      <c r="I11" s="4"/>
      <c r="J11" s="19">
        <v>60</v>
      </c>
      <c r="K11" s="13"/>
      <c r="L11" s="13" t="s">
        <v>43</v>
      </c>
      <c r="M11" s="13" t="s">
        <v>10</v>
      </c>
      <c r="N11" s="14" t="s">
        <v>7</v>
      </c>
      <c r="O11" s="14" t="s">
        <v>46</v>
      </c>
      <c r="P11" s="14" t="s">
        <v>15</v>
      </c>
    </row>
    <row r="12" spans="1:16" s="11" customFormat="1" ht="19.95" customHeight="1" x14ac:dyDescent="0.25">
      <c r="A12" s="24" t="s">
        <v>0</v>
      </c>
      <c r="B12" s="6"/>
      <c r="C12" s="4"/>
      <c r="D12" s="4"/>
      <c r="E12" s="9"/>
      <c r="F12" s="4"/>
      <c r="G12" s="4"/>
      <c r="H12" s="4"/>
      <c r="I12" s="4"/>
      <c r="J12" s="20">
        <v>359.99999999999994</v>
      </c>
      <c r="K12" s="21">
        <v>202582</v>
      </c>
      <c r="L12" s="22">
        <v>44196.416666666664</v>
      </c>
      <c r="M12" s="22">
        <v>44196.666666666664</v>
      </c>
      <c r="N12" s="21" t="s">
        <v>80</v>
      </c>
      <c r="O12" s="21" t="s">
        <v>81</v>
      </c>
      <c r="P12" s="21" t="s">
        <v>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P9"/>
  <sheetViews>
    <sheetView workbookViewId="0"/>
  </sheetViews>
  <sheetFormatPr defaultRowHeight="13.2" x14ac:dyDescent="0.25"/>
  <cols>
    <col min="1" max="1" width="17.21875" bestFit="1" customWidth="1"/>
    <col min="2" max="2" width="6.88671875" bestFit="1" customWidth="1"/>
    <col min="3" max="5" width="2.6640625" bestFit="1" customWidth="1"/>
    <col min="6" max="9" width="3.5546875" bestFit="1" customWidth="1"/>
    <col min="10" max="10" width="13.44140625" bestFit="1" customWidth="1"/>
    <col min="11" max="11" width="6.77734375" bestFit="1" customWidth="1"/>
    <col min="12" max="13" width="15.109375" bestFit="1" customWidth="1"/>
    <col min="14" max="14" width="55.21875" bestFit="1" customWidth="1"/>
    <col min="15" max="15" width="79.21875" bestFit="1" customWidth="1"/>
    <col min="16" max="16" width="87.44140625" bestFit="1" customWidth="1"/>
  </cols>
  <sheetData>
    <row r="1" spans="1:16" s="11" customFormat="1" ht="19.95" customHeight="1" x14ac:dyDescent="0.25">
      <c r="A1" s="15" t="s">
        <v>88</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7</v>
      </c>
      <c r="C2" s="25" t="s">
        <v>47</v>
      </c>
      <c r="D2" s="25" t="s">
        <v>47</v>
      </c>
      <c r="E2" s="9"/>
      <c r="F2" s="4">
        <v>2</v>
      </c>
      <c r="G2" s="4">
        <v>2</v>
      </c>
      <c r="H2" s="4">
        <v>1</v>
      </c>
      <c r="I2" s="4">
        <v>2</v>
      </c>
      <c r="J2" s="19" t="s">
        <v>47</v>
      </c>
      <c r="K2" s="13"/>
      <c r="L2" s="13" t="s">
        <v>26</v>
      </c>
      <c r="M2" s="13" t="s">
        <v>6</v>
      </c>
      <c r="N2" s="14" t="s">
        <v>32</v>
      </c>
      <c r="O2" s="14" t="s">
        <v>48</v>
      </c>
      <c r="P2" s="14" t="s">
        <v>49</v>
      </c>
    </row>
    <row r="3" spans="1:16" s="11" customFormat="1" ht="19.95" customHeight="1" x14ac:dyDescent="0.25">
      <c r="A3" s="18" t="s">
        <v>25</v>
      </c>
      <c r="B3" s="6">
        <f>SUM(C3:I3)</f>
        <v>1650</v>
      </c>
      <c r="C3" s="25" t="s">
        <v>47</v>
      </c>
      <c r="D3" s="25" t="s">
        <v>47</v>
      </c>
      <c r="E3" s="9"/>
      <c r="F3" s="4">
        <v>270</v>
      </c>
      <c r="G3" s="4">
        <v>540</v>
      </c>
      <c r="H3" s="4">
        <v>540</v>
      </c>
      <c r="I3" s="4">
        <v>300</v>
      </c>
      <c r="J3" s="19" t="s">
        <v>47</v>
      </c>
      <c r="K3" s="13"/>
      <c r="L3" s="13" t="s">
        <v>23</v>
      </c>
      <c r="M3" s="13" t="s">
        <v>6</v>
      </c>
      <c r="N3" s="14" t="s">
        <v>14</v>
      </c>
      <c r="O3" s="14" t="s">
        <v>48</v>
      </c>
      <c r="P3" s="14" t="s">
        <v>49</v>
      </c>
    </row>
    <row r="4" spans="1:16" s="11" customFormat="1" ht="27.6" x14ac:dyDescent="0.25">
      <c r="A4" s="18" t="s">
        <v>50</v>
      </c>
      <c r="B4" s="29" t="s">
        <v>86</v>
      </c>
      <c r="C4" s="25" t="s">
        <v>47</v>
      </c>
      <c r="D4" s="25" t="s">
        <v>47</v>
      </c>
      <c r="E4" s="9"/>
      <c r="F4" s="4"/>
      <c r="G4" s="4"/>
      <c r="H4" s="4"/>
      <c r="I4" s="4"/>
      <c r="J4" s="19">
        <v>180</v>
      </c>
      <c r="K4" s="13"/>
      <c r="L4" s="13" t="s">
        <v>34</v>
      </c>
      <c r="M4" s="13" t="s">
        <v>13</v>
      </c>
      <c r="N4" s="14" t="s">
        <v>51</v>
      </c>
      <c r="O4" s="14" t="s">
        <v>52</v>
      </c>
      <c r="P4" s="14" t="s">
        <v>17</v>
      </c>
    </row>
    <row r="5" spans="1:16" s="11" customFormat="1" ht="19.95" hidden="1" customHeight="1" x14ac:dyDescent="0.25">
      <c r="A5" s="24" t="s">
        <v>0</v>
      </c>
      <c r="B5" s="6"/>
      <c r="C5" s="4"/>
      <c r="D5" s="4"/>
      <c r="E5" s="9"/>
      <c r="F5" s="4"/>
      <c r="G5" s="4"/>
      <c r="H5" s="4"/>
      <c r="I5" s="4"/>
      <c r="J5" s="20">
        <v>90</v>
      </c>
      <c r="K5" s="21">
        <v>202550</v>
      </c>
      <c r="L5" s="22">
        <v>44193.541666666664</v>
      </c>
      <c r="M5" s="22">
        <v>44193.604166666664</v>
      </c>
      <c r="N5" s="21" t="s">
        <v>77</v>
      </c>
      <c r="O5" s="21" t="s">
        <v>78</v>
      </c>
      <c r="P5" s="21" t="s">
        <v>79</v>
      </c>
    </row>
    <row r="6" spans="1:16" s="11" customFormat="1" ht="19.95" hidden="1" customHeight="1" x14ac:dyDescent="0.25">
      <c r="A6" s="7"/>
      <c r="B6" s="6"/>
      <c r="C6" s="4"/>
      <c r="D6" s="4"/>
      <c r="E6" s="9"/>
      <c r="F6" s="4"/>
      <c r="G6" s="4"/>
      <c r="H6" s="4"/>
      <c r="I6" s="4"/>
      <c r="J6" s="19">
        <v>300</v>
      </c>
      <c r="K6" s="13"/>
      <c r="L6" s="13" t="s">
        <v>40</v>
      </c>
      <c r="M6" s="13" t="s">
        <v>18</v>
      </c>
      <c r="N6" s="14" t="s">
        <v>19</v>
      </c>
      <c r="O6" s="14" t="s">
        <v>53</v>
      </c>
      <c r="P6" s="14" t="s">
        <v>54</v>
      </c>
    </row>
    <row r="7" spans="1:16" s="11" customFormat="1" ht="19.95" hidden="1" customHeight="1" x14ac:dyDescent="0.25">
      <c r="A7" s="7"/>
      <c r="B7" s="6"/>
      <c r="C7" s="4"/>
      <c r="D7" s="4"/>
      <c r="E7" s="9"/>
      <c r="F7" s="4"/>
      <c r="G7" s="4"/>
      <c r="H7" s="4"/>
      <c r="I7" s="4"/>
      <c r="J7" s="19">
        <v>240</v>
      </c>
      <c r="K7" s="13"/>
      <c r="L7" s="13" t="s">
        <v>40</v>
      </c>
      <c r="M7" s="13" t="s">
        <v>55</v>
      </c>
      <c r="N7" s="14" t="s">
        <v>56</v>
      </c>
      <c r="O7" s="14" t="s">
        <v>57</v>
      </c>
      <c r="P7" s="14" t="s">
        <v>58</v>
      </c>
    </row>
    <row r="8" spans="1:16" s="11" customFormat="1" ht="19.95" hidden="1" customHeight="1" x14ac:dyDescent="0.25">
      <c r="A8" s="7"/>
      <c r="B8" s="6"/>
      <c r="C8" s="4"/>
      <c r="D8" s="4"/>
      <c r="E8" s="9"/>
      <c r="F8" s="4"/>
      <c r="G8" s="4"/>
      <c r="H8" s="4"/>
      <c r="I8" s="4"/>
      <c r="J8" s="19">
        <v>540</v>
      </c>
      <c r="K8" s="13"/>
      <c r="L8" s="13" t="s">
        <v>43</v>
      </c>
      <c r="M8" s="13" t="s">
        <v>6</v>
      </c>
      <c r="N8" s="14" t="s">
        <v>59</v>
      </c>
      <c r="O8" s="14" t="s">
        <v>60</v>
      </c>
      <c r="P8" s="14" t="s">
        <v>61</v>
      </c>
    </row>
    <row r="9" spans="1:16" s="11" customFormat="1" ht="26.4" x14ac:dyDescent="0.25">
      <c r="A9" s="7"/>
      <c r="B9" s="6"/>
      <c r="C9" s="4"/>
      <c r="D9" s="4"/>
      <c r="E9" s="9"/>
      <c r="F9" s="4"/>
      <c r="G9" s="4"/>
      <c r="H9" s="4"/>
      <c r="I9" s="4"/>
      <c r="J9" s="19">
        <v>180</v>
      </c>
      <c r="K9" s="13"/>
      <c r="L9" s="13" t="s">
        <v>62</v>
      </c>
      <c r="M9" s="13" t="s">
        <v>16</v>
      </c>
      <c r="N9" s="14" t="s">
        <v>63</v>
      </c>
      <c r="O9" s="14" t="s">
        <v>64</v>
      </c>
      <c r="P9" s="14"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KT_bc</vt:lpstr>
      <vt:lpstr>Gốc</vt:lpstr>
      <vt:lpstr>nguyenduy</vt:lpstr>
      <vt:lpstr>duytruong</vt:lpstr>
      <vt:lpstr>anhminh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Giao dịch theo NV Liên hệ</dc:title>
  <dc:creator>ASUS</dc:creator>
  <cp:lastModifiedBy>PC</cp:lastModifiedBy>
  <dcterms:created xsi:type="dcterms:W3CDTF">2019-08-19T09:06:37Z</dcterms:created>
  <dcterms:modified xsi:type="dcterms:W3CDTF">2021-02-05T02:19:44Z</dcterms:modified>
</cp:coreProperties>
</file>